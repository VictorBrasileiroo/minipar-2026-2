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E" sheetId="1" r:id="rId5"/>
    <sheet state="visible" name="TAREFAS" sheetId="2" r:id="rId6"/>
    <sheet state="visible" name="DEPENDENCIAS" sheetId="3" r:id="rId7"/>
    <sheet state="visible" name="MARCOS" sheetId="4" r:id="rId8"/>
    <sheet state="visible" name="CONTRATOS" sheetId="5" r:id="rId9"/>
    <sheet state="visible" name="TESTES" sheetId="6" r:id="rId10"/>
    <sheet state="visible" name="RISCOS" sheetId="7" r:id="rId11"/>
    <sheet state="visible" name="PAINEL" sheetId="8" r:id="rId12"/>
    <sheet state="visible" name="COMO_USAR" sheetId="9" r:id="rId13"/>
  </sheets>
  <definedNames/>
  <calcPr/>
</workbook>
</file>

<file path=xl/sharedStrings.xml><?xml version="1.0" encoding="utf-8"?>
<sst xmlns="http://schemas.openxmlformats.org/spreadsheetml/2006/main" count="1130" uniqueCount="555">
  <si>
    <t>EQUIPE | responsáveis e limites</t>
  </si>
  <si>
    <t>MARCOS | pontos de controle</t>
  </si>
  <si>
    <t>Edite os nomes dos eixos B e C aqui. Os responsáveis das tarefas são atualizados pelas fórmulas.</t>
  </si>
  <si>
    <t>Somente três prazos de construção: 22/10, 29/10 e 03/11. Os cards herdam a data de seu marco; não há datas individuais.</t>
  </si>
  <si>
    <t>Eixo</t>
  </si>
  <si>
    <t>Marco</t>
  </si>
  <si>
    <t>Nome responsável</t>
  </si>
  <si>
    <t>Data-limite</t>
  </si>
  <si>
    <t>Objetivo verificável</t>
  </si>
  <si>
    <t>Escopo principal</t>
  </si>
  <si>
    <t>Responsáveis</t>
  </si>
  <si>
    <t>Propriedade de arquivos</t>
  </si>
  <si>
    <t>Critério de passagem</t>
  </si>
  <si>
    <t>Não modificar sem acordo</t>
  </si>
  <si>
    <t>Horas dos cards</t>
  </si>
  <si>
    <t>Situação</t>
  </si>
  <si>
    <t>Capacidade até 03/11</t>
  </si>
  <si>
    <t>Bloqueios / decisão</t>
  </si>
  <si>
    <t>Observações</t>
  </si>
  <si>
    <t>M1 · Fundações</t>
  </si>
  <si>
    <t>A</t>
  </si>
  <si>
    <t>Victor André</t>
  </si>
  <si>
    <t>Núcleo do compilador e integração central</t>
  </si>
  <si>
    <t>src/, main.py, app.py, CLI e Web antiga</t>
  </si>
  <si>
    <t>15 cards: contratos, ambiente, linguagens base, protótipos UI/T11 e runtime local+2 hosts</t>
  </si>
  <si>
    <t>runtime/ e web_didatica/ de outros eixos</t>
  </si>
  <si>
    <t>A+B+C</t>
  </si>
  <si>
    <t>Build reprodutível; contratos; prova MiniPar/T11; sockets e 2 computadores; anexos e evidências</t>
  </si>
  <si>
    <t>Teto pessoal até 3 horas por dia; horas compartilhadas e revisões também consomem capacidade</t>
  </si>
  <si>
    <t>B</t>
  </si>
  <si>
    <t>Riquelme</t>
  </si>
  <si>
    <t>Interface Web didática, Teste 11, documentação consolidada</t>
  </si>
  <si>
    <t>web_didatica/, testes T11, documentação designada</t>
  </si>
  <si>
    <t>src/ do compilador; runtime/ de C</t>
  </si>
  <si>
    <t>Definir integrante e horas reais no kickoff</t>
  </si>
  <si>
    <t>DEPENDÊNCIAS | liberação controlada</t>
  </si>
  <si>
    <t>C</t>
  </si>
  <si>
    <t>Erasmo</t>
  </si>
  <si>
    <t>Runtime paralelo/distribuído, testes 8–10 e QA</t>
  </si>
  <si>
    <t>TAREFAS | backlog operacional</t>
  </si>
  <si>
    <t>runtime/, testes T08–T10, scripts/testes de QA</t>
  </si>
  <si>
    <t>src/ do compilador; web_didatica/ de B</t>
  </si>
  <si>
    <t>Definir integrante e disponibilidade; dois computadores para demo</t>
  </si>
  <si>
    <t>Automático: uma pré-tarefa só está OK quando concluída ou quando um mock aprovado está justificado.</t>
  </si>
  <si>
    <t>Não iniciado</t>
  </si>
  <si>
    <t>M2 · Funcionalidades</t>
  </si>
  <si>
    <t>Os prazos são por MARCO, não por tarefa: M1 22/10 · M2 29/10 · M3 03/11. Os status e as dependências continuam por card.</t>
  </si>
  <si>
    <t>Card dependente</t>
  </si>
  <si>
    <t>13 cards: Fork/Join integrado, T08–T10, T11 ARM/CPUlator, Web ligada e smoke dos 3 eixos</t>
  </si>
  <si>
    <t>ID</t>
  </si>
  <si>
    <t>T08–T10 com trabalho real; CPUlator 22 e -84; Web analisa, compila, executa e baixa; INT-01</t>
  </si>
  <si>
    <t>M3 · Congelamento</t>
  </si>
  <si>
    <t>12 cards: TAC, regressão 1–11, interfaces, documentação, relatório, release candidata</t>
  </si>
  <si>
    <t>Evidências completas, BNF/UML/pseudocódigos, relatório, repo e release congelada</t>
  </si>
  <si>
    <t>ESTUDO · Preparação</t>
  </si>
  <si>
    <t>EST-01: estudo de módulos e roteiro individual</t>
  </si>
  <si>
    <t>Trio entende fases e demonstrações sem depender de um único membro</t>
  </si>
  <si>
    <t>ENSAIO · Demonstração</t>
  </si>
  <si>
    <t>EST-02: ensaio completo e contingência</t>
  </si>
  <si>
    <t>Ensaio completo com backup de demonstração e links confirmados</t>
  </si>
  <si>
    <t>ENTREGA · Oficial</t>
  </si>
  <si>
    <t>ENT-01: entrega oficial MiniPar 2026.2</t>
  </si>
  <si>
    <t>Depende de</t>
  </si>
  <si>
    <t>Repositório, relatório e apresentações conforme professor</t>
  </si>
  <si>
    <t>Status da pré-tarefa</t>
  </si>
  <si>
    <t>Responsável</t>
  </si>
  <si>
    <t>Resultado</t>
  </si>
  <si>
    <t>Mock aprovado?</t>
  </si>
  <si>
    <t>Prioridade</t>
  </si>
  <si>
    <t>Evidência do mock / contrato</t>
  </si>
  <si>
    <t>Tarefa</t>
  </si>
  <si>
    <t>SET-02</t>
  </si>
  <si>
    <t>Prazo do MARCO</t>
  </si>
  <si>
    <t>SET-01</t>
  </si>
  <si>
    <t>Dependências OK?</t>
  </si>
  <si>
    <t>Autorizado?</t>
  </si>
  <si>
    <t>Status</t>
  </si>
  <si>
    <t>Horas reais</t>
  </si>
  <si>
    <t>Entregável</t>
  </si>
  <si>
    <t>Critério de aceite</t>
  </si>
  <si>
    <t>Arquivos permitidos</t>
  </si>
  <si>
    <t>Evidência / link</t>
  </si>
  <si>
    <t>Bloqueio / observações</t>
  </si>
  <si>
    <t>Não</t>
  </si>
  <si>
    <t>CON-01</t>
  </si>
  <si>
    <t>P0</t>
  </si>
  <si>
    <t>Criar estrutura e importar base 2026.1</t>
  </si>
  <si>
    <t>—</t>
  </si>
  <si>
    <t>CON-02</t>
  </si>
  <si>
    <t>Planejado</t>
  </si>
  <si>
    <t>Código legado imutável e cópia ativa na raiz; registrar origem/commit</t>
  </si>
  <si>
    <t>Arquivos ativos presentes; `legacy` preservado; `git status` limpo; scripts de importação conferidos.</t>
  </si>
  <si>
    <t>scripts/, legacy/, raiz ativa</t>
  </si>
  <si>
    <t>CON-03</t>
  </si>
  <si>
    <t>M1</t>
  </si>
  <si>
    <t>CORE-01</t>
  </si>
  <si>
    <t>Padronizar Python e G++20; executar smoke</t>
  </si>
  <si>
    <t>CORE-02</t>
  </si>
  <si>
    <t>Instruções reprodutíveis de build; superar GCC 6.3 incompatível</t>
  </si>
  <si>
    <t>T01 simples compila e executa em ferramenta suportada; log identifica versões e comandos.</t>
  </si>
  <si>
    <t>docs/, src/, main.py</t>
  </si>
  <si>
    <t>CORE-03</t>
  </si>
  <si>
    <t>CONTRATOS | interfaces entre os eixos</t>
  </si>
  <si>
    <t>SET-03</t>
  </si>
  <si>
    <t>Os contratos são propostas até aprovação do trio. Eles devem existir antes do desenvolvimento incompatível.</t>
  </si>
  <si>
    <t>Contrato</t>
  </si>
  <si>
    <t>Fornecedor</t>
  </si>
  <si>
    <t>Consumidor</t>
  </si>
  <si>
    <t>Prazo</t>
  </si>
  <si>
    <t>Escopo de interface</t>
  </si>
  <si>
    <t>Aceite mínimo</t>
  </si>
  <si>
    <t>Evidência da aprovação</t>
  </si>
  <si>
    <t>C-FJ-v1</t>
  </si>
  <si>
    <t>A + C</t>
  </si>
  <si>
    <t>A e C</t>
  </si>
  <si>
    <t>Fork/Join local/remoto; start/join; argumentos/resultados; IDs; sockets</t>
  </si>
  <si>
    <t>Sintaxe da linguagem, API C++, isolamento, erros e worker pré-compilado aprovados</t>
  </si>
  <si>
    <t>Pendente</t>
  </si>
  <si>
    <t>C-WEB-v1</t>
  </si>
  <si>
    <t>API de fases Lexer, AST, símbolos, TAC, C++; compilação e execução</t>
  </si>
  <si>
    <t>Fixture JSON, erros por fase, binário correto, downloads e limites aprovados</t>
  </si>
  <si>
    <t>C-T11-v1</t>
  </si>
  <si>
    <t>Permissões Git, responsáveis B/C, branches e acesso a dois PCs</t>
  </si>
  <si>
    <t>Strings, vetores, input, conversões e saída ARM para MiniCompilador</t>
  </si>
  <si>
    <t>Programa MiniPar mínimo de prova, oráculos, formato .arm e CPUlator acordados</t>
  </si>
  <si>
    <t>CORE-04</t>
  </si>
  <si>
    <t>Repositório privado acessível aos três, owners nomeados, hosts disponíveis</t>
  </si>
  <si>
    <t>Trio confirma acesso/horas; hosts de rede definidos; branch protect quando viável.</t>
  </si>
  <si>
    <t>docs/, planning/</t>
  </si>
  <si>
    <t>CORE-05</t>
  </si>
  <si>
    <t>TESTES | execução e evidências</t>
  </si>
  <si>
    <t>A+C</t>
  </si>
  <si>
    <t>Não confundir compilou com passou: registrar resultado verdadeiro, entrada, oráculo e evidência.</t>
  </si>
  <si>
    <t>Teste</t>
  </si>
  <si>
    <t>Eixo QA</t>
  </si>
  <si>
    <t>Objetivo</t>
  </si>
  <si>
    <t>Oráculo ou resultado esperado</t>
  </si>
  <si>
    <t>Evidência / log</t>
  </si>
  <si>
    <t>Ambiente / comando</t>
  </si>
  <si>
    <t>Pendências</t>
  </si>
  <si>
    <t>T01</t>
  </si>
  <si>
    <t>Calculadora cliente-servidor</t>
  </si>
  <si>
    <t>Ex.: 2+3=5; mensagem e socket reais</t>
  </si>
  <si>
    <t>CORE-06</t>
  </si>
  <si>
    <t>Não testado</t>
  </si>
  <si>
    <t>T02</t>
  </si>
  <si>
    <t>Fatorial e Fibonacci usando par</t>
  </si>
  <si>
    <t>Congelar contrato de Fork/Join e destino local/remoto</t>
  </si>
  <si>
    <t>Fatorial 5=120; sequência Fibonacci correta</t>
  </si>
  <si>
    <t>T03</t>
  </si>
  <si>
    <t>Neurônio artificial</t>
  </si>
  <si>
    <t>Convergência e valores de referência com critério definido</t>
  </si>
  <si>
    <t>T04</t>
  </si>
  <si>
    <t>Rede neural XOR</t>
  </si>
  <si>
    <t>Classificação correta e tolerância numérica acordada</t>
  </si>
  <si>
    <t>T05</t>
  </si>
  <si>
    <t>Sistema de recomendação</t>
  </si>
  <si>
    <t>Recomendações calculadas da entrada real</t>
  </si>
  <si>
    <t>T06</t>
  </si>
  <si>
    <t>Quicksort OO</t>
  </si>
  <si>
    <t>Lista ordenada corretamente com outras entradas</t>
  </si>
  <si>
    <t>T07</t>
  </si>
  <si>
    <t>Quicksort iterativo e TAC</t>
  </si>
  <si>
    <t>TAC não hardcoded, ordenação, memória segura</t>
  </si>
  <si>
    <t>T08</t>
  </si>
  <si>
    <t>160 avaliações com quatro trabalhadores</t>
  </si>
  <si>
    <t>160 resultados íntegros, 4 workers identificados</t>
  </si>
  <si>
    <t>BNF proposta e API runtime aprovadas, tipos/handles/erros delimitados</t>
  </si>
  <si>
    <t>T09</t>
  </si>
  <si>
    <t>Avaliações + Mandelbrot</t>
  </si>
  <si>
    <t>A e C aprovam contrato; exemplos/fixtures; mudança via CR; pendências registradas.</t>
  </si>
  <si>
    <t>Cargas e desenho ASCII corretos e concorrência real</t>
  </si>
  <si>
    <t>T10</t>
  </si>
  <si>
    <t>Avaliações + Mandelbrot + Sierpinski</t>
  </si>
  <si>
    <t>docs/02_CONTRATOS_TECNICOS.md</t>
  </si>
  <si>
    <t>CORE-07</t>
  </si>
  <si>
    <t>Fractais demonstrados, benchmark honesto</t>
  </si>
  <si>
    <t>T11</t>
  </si>
  <si>
    <t>MiniCompilador escrito em MiniPar</t>
  </si>
  <si>
    <t>22, -84 e 22; tokens/AST/TAC/símbolos; .arm no CPUlator</t>
  </si>
  <si>
    <t>A+B</t>
  </si>
  <si>
    <t>RUN-01</t>
  </si>
  <si>
    <t>Congelar contrato serviço de fases para a Web</t>
  </si>
  <si>
    <t>RUN-02</t>
  </si>
  <si>
    <t>Esquema tokens, AST, símbolos, TAC, C++, compile/run/download</t>
  </si>
  <si>
    <t>A e B aprovam fixture de sucesso e três erros; Web poderá usar mocks.</t>
  </si>
  <si>
    <t>CORE-08</t>
  </si>
  <si>
    <t>Congelar recursos mínimos Teste 11 e saída ARM</t>
  </si>
  <si>
    <t>Contrato strings/listas/T11, estratégia arquivo `.arm` e CPUlator</t>
  </si>
  <si>
    <t>CORE-09</t>
  </si>
  <si>
    <t>A e B aprovam programas de prova com oráculo e responsabilidades.</t>
  </si>
  <si>
    <t>Registrar baseline reprodutível dos testes 1–7</t>
  </si>
  <si>
    <t>RISCOS | alertas e planos de resposta</t>
  </si>
  <si>
    <t>Revisar nas datas dos marcos; um risco precisa de dono, gatilho verificável e ação.</t>
  </si>
  <si>
    <t>CORE-10</t>
  </si>
  <si>
    <t>Risco</t>
  </si>
  <si>
    <t>Probabilidade</t>
  </si>
  <si>
    <t>Impacto</t>
  </si>
  <si>
    <t>Gatilho de escalada</t>
  </si>
  <si>
    <t>Dono</t>
  </si>
  <si>
    <t>Ação de resposta</t>
  </si>
  <si>
    <t>Nota / evidência</t>
  </si>
  <si>
    <t>R01</t>
  </si>
  <si>
    <t>Runtime remoto não integra MiniPar</t>
  </si>
  <si>
    <t>Alta</t>
  </si>
  <si>
    <t>Crítico</t>
  </si>
  <si>
    <t>Sem prova em dois hosts até 23/10</t>
  </si>
  <si>
    <t>Congelar novas features, priorizar função mínima exportada com ID e worker pré-compilado</t>
  </si>
  <si>
    <t>Aberto</t>
  </si>
  <si>
    <t>R02</t>
  </si>
  <si>
    <t>Teste 11 só emite texto ARM inválido</t>
  </si>
  <si>
    <t>Sem primeiro ARM executado até 23/10</t>
  </si>
  <si>
    <t>Validar instruções/registros no CPUlator antes de expandir linguagem</t>
  </si>
  <si>
    <t>R03</t>
  </si>
  <si>
    <t>Tipo string/coleções inviabiliza T11</t>
  </si>
  <si>
    <t>Alto</t>
  </si>
  <si>
    <t>MVP não compila após 21/10</t>
  </si>
  <si>
    <t>Reduzir representação do algoritmo a vetores/índices; corrigir builtins mínimos com regressão</t>
  </si>
  <si>
    <t>Matriz baseline dos testes herdados, sem alterar src/; falhas encaminhadas a A</t>
  </si>
  <si>
    <t>R04</t>
  </si>
  <si>
    <t>Toolchain GCC 6.3 insuficiente</t>
  </si>
  <si>
    <t>Execução nativa de cada T01–T07 com status PASS/FAIL/BLOCKED e evidência.</t>
  </si>
  <si>
    <t>Sem G++20 (ou alternativa validada) até 18/10</t>
  </si>
  <si>
    <t>Usar toolchain isolada compatível, sem alterar ambiente global; não aceitar C++14 hack como entrega sem documentar</t>
  </si>
  <si>
    <t>docs/auditorias/, tests/, scripts/</t>
  </si>
  <si>
    <t>R05</t>
  </si>
  <si>
    <t>TAC fixo do Quicksort</t>
  </si>
  <si>
    <t>Confirmada</t>
  </si>
  <si>
    <t>Mutação T07 ainda igual</t>
  </si>
  <si>
    <t>Implementar gerador real e testes metamórficos</t>
  </si>
  <si>
    <t>R06</t>
  </si>
  <si>
    <t>Bug de vetor/stack T07</t>
  </si>
  <si>
    <t>Execução com bounds failure</t>
  </si>
  <si>
    <t>Corrigir lógica do teste/semântica de coleções; executar sanitizer</t>
  </si>
  <si>
    <t>R07</t>
  </si>
  <si>
    <t>Web didática depende de API não entregue</t>
  </si>
  <si>
    <t>Média</t>
  </si>
  <si>
    <t>Mock diverge da API real em 24/10</t>
  </si>
  <si>
    <t>Contrato frozen; contract tests; converter Web para consumir dados reais</t>
  </si>
  <si>
    <t>R08</t>
  </si>
  <si>
    <t>Confusão de arquivos por agentes</t>
  </si>
  <si>
    <t>PR toca `src/` por B/C sem CR</t>
  </si>
  <si>
    <t>Coord</t>
  </si>
  <si>
    <t>Bloquear merge; separar alteração; revisar AGENTS/ownership</t>
  </si>
  <si>
    <t>R09</t>
  </si>
  <si>
    <t>Coordenador com ≤3 h/dia vira gargalo</t>
  </si>
  <si>
    <t>Mais de 2 PRs integração em fila ou &gt;24h sem review P0</t>
  </si>
  <si>
    <t>Simplificar PRs, delegar revisão de módulos próprios, priorizar contratos e gates</t>
  </si>
  <si>
    <t>R10</t>
  </si>
  <si>
    <t>Disponibilidade B/C insuficiente</t>
  </si>
  <si>
    <t>Desconhecida</t>
  </si>
  <si>
    <t>Sem compromisso de horas no G0</t>
  </si>
  <si>
    <t>Equipe</t>
  </si>
  <si>
    <t>Revisar marcos e redistribuir **antes** do início</t>
  </si>
  <si>
    <t>R11</t>
  </si>
  <si>
    <t>Teste 10 GUI/Sierpinski indefinido</t>
  </si>
  <si>
    <t>Sem formato acordado em 20/10</t>
  </si>
  <si>
    <t>Implementar saída visual mínima verificável e pedir aceitação, sem alegar cumprimento automático</t>
  </si>
  <si>
    <t>R12</t>
  </si>
  <si>
    <t>Demonstração remota depende de rede local</t>
  </si>
  <si>
    <t>Sem 2 PCs no G0 ou bloqueio firewall</t>
  </si>
  <si>
    <t>Remover TAC fixo do Quicksort e corrigir T07</t>
  </si>
  <si>
    <t>Reservar hardware/rede cedo, testar portas e comandos; gravar provas como backup</t>
  </si>
  <si>
    <t>R13</t>
  </si>
  <si>
    <t>XOR difere numericamente</t>
  </si>
  <si>
    <t>Médio</t>
  </si>
  <si>
    <t>Sem tolerância/oráculo acordado no G1</t>
  </si>
  <si>
    <t>Comparar com referência/seed/tolerância; não aprovar por apenas acertar classes</t>
  </si>
  <si>
    <t>R14</t>
  </si>
  <si>
    <t>Regressão em terminal/Web anterior</t>
  </si>
  <si>
    <t>T01–T07 ou Web falham após merge</t>
  </si>
  <si>
    <t>Smoke a cada mudança central e antes do G3</t>
  </si>
  <si>
    <t>R15</t>
  </si>
  <si>
    <t>Incompletude do relatório/UML</t>
  </si>
  <si>
    <t>Alta se deixado para final</t>
  </si>
  <si>
    <t>WEB-01</t>
  </si>
  <si>
    <t>Pseudocódigos e diagramas ausentes em 29/10</t>
  </si>
  <si>
    <t>Cada eixo + Coord</t>
  </si>
  <si>
    <t>Produzir documentos junto com componentes e consolidar em G4</t>
  </si>
  <si>
    <t>R16</t>
  </si>
  <si>
    <t>Redistribuição indevida do código antigo</t>
  </si>
  <si>
    <t>Repositório público sem permissão/licença</t>
  </si>
  <si>
    <t>Manter privado, creditar e verificar condições antes de abrir</t>
  </si>
  <si>
    <t>R17</t>
  </si>
  <si>
    <t>Acúmulo de CG + MiniPar</t>
  </si>
  <si>
    <t>Estudos da apresentação sacrificados</t>
  </si>
  <si>
    <t>Preservar 04–10/11 e checkpoints curtos durante desenvolvimento</t>
  </si>
  <si>
    <t>R18</t>
  </si>
  <si>
    <t>Falhas de segurança ao executar C++ via Web</t>
  </si>
  <si>
    <t>Serviço aberto publicamente ou sem limites</t>
  </si>
  <si>
    <t>B+A</t>
  </si>
  <si>
    <t>Ambiente local controlado, timeout, diretórios separados, sem deploy público</t>
  </si>
  <si>
    <t>R19</t>
  </si>
  <si>
    <t>T08–T10 aparentam paralelo mas serializam carga</t>
  </si>
  <si>
    <t>Traces sem sobreposição e tempos falsos</t>
  </si>
  <si>
    <t>Instrumentar start/end/task id, carga idêntica e join real</t>
  </si>
  <si>
    <t>R20</t>
  </si>
  <si>
    <t>Dados de avaliação/saídas hardcoded</t>
  </si>
  <si>
    <t>TAC calculado da AST e ordenação segura</t>
  </si>
  <si>
    <t>Resultado igual com entrada mutada</t>
  </si>
  <si>
    <t>Todos</t>
  </si>
  <si>
    <t>Testes metamórficos e inspeção de código gerado</t>
  </si>
  <si>
    <t>Programa modificado com mesmo nome não reproduz TAC fixo; T07 compila/ordena sem bounds violation.</t>
  </si>
  <si>
    <t>WEB-02</t>
  </si>
  <si>
    <t>src/tac.py, tests/, src/codegen.py</t>
  </si>
  <si>
    <t>M2</t>
  </si>
  <si>
    <t>WEB-03</t>
  </si>
  <si>
    <t>Corrigir primitivas strings e coleções usadas por T11</t>
  </si>
  <si>
    <t>CON-03, SET-02</t>
  </si>
  <si>
    <t>`len`, `substr`, `to_string`, string `std::string`, listas textuais mínimas</t>
  </si>
  <si>
    <t>Programas de prova T11 compilam/produzem oráculos; regressão anterior sem piora.</t>
  </si>
  <si>
    <t>src/codegen.py, src/semantic.py, src/cpp_template.py</t>
  </si>
  <si>
    <t>WEB-04</t>
  </si>
  <si>
    <t>Implementar BNF, tokens e AST de Fork/Join</t>
  </si>
  <si>
    <t>T11-01</t>
  </si>
  <si>
    <t>MINIPAR 2026.2 | painel de acompanhamento</t>
  </si>
  <si>
    <t>Gerenciamento sem Jira: atualize a aba TAREFAS e consulte os indicadores aqui.</t>
  </si>
  <si>
    <t>INDICADOR</t>
  </si>
  <si>
    <t>VALOR</t>
  </si>
  <si>
    <t>Gramática adotada, Lexer/Parser/AST e diagnósticos</t>
  </si>
  <si>
    <t>INTERPRETAÇÃO</t>
  </si>
  <si>
    <t>Cards no plano</t>
  </si>
  <si>
    <t>Programas MiniPar positivos/negativos de Fork/Join têm AST correta; BNF coerente.</t>
  </si>
  <si>
    <t>src/lexer.py, src/parser.py, src/ast_nodes.py, docs/</t>
  </si>
  <si>
    <t>Backlog inicial, 43 cards</t>
  </si>
  <si>
    <t>Concluídos</t>
  </si>
  <si>
    <t>T11-02</t>
  </si>
  <si>
    <t>Só com evidência e aceite</t>
  </si>
  <si>
    <t>Em andamento</t>
  </si>
  <si>
    <t>Cards ativamente executados</t>
  </si>
  <si>
    <t>Bloqueados</t>
  </si>
  <si>
    <t>Resolver ou escalar imediatamente</t>
  </si>
  <si>
    <t>Atrasados</t>
  </si>
  <si>
    <t>Cards abertos cujo MARCO já venceu, não atrasos independentes por tarefa</t>
  </si>
  <si>
    <t>Progresso</t>
  </si>
  <si>
    <t>Semântico de Fork/Join e isolamento</t>
  </si>
  <si>
    <t>T11-03</t>
  </si>
  <si>
    <t>Concluídos / total do backlog</t>
  </si>
  <si>
    <t>Horas previstas</t>
  </si>
  <si>
    <t>Estimativa de cards, não promessa</t>
  </si>
  <si>
    <t>Horas registradas</t>
  </si>
  <si>
    <t>Preenchimento manual por cada eixo</t>
  </si>
  <si>
    <t>Testes que passaram</t>
  </si>
  <si>
    <t>Aprovação real de T01–T11</t>
  </si>
  <si>
    <t>Contratos aprovados</t>
  </si>
  <si>
    <t>3 contratos são necessários para G0</t>
  </si>
  <si>
    <t>PRÓXIMOS MARCOS</t>
  </si>
  <si>
    <t>DATA</t>
  </si>
  <si>
    <t>SAÍDA PRINCIPAL</t>
  </si>
  <si>
    <t>STATUS</t>
  </si>
  <si>
    <t>WEB-05</t>
  </si>
  <si>
    <t>Regras semânticas e tipos/handles necessários</t>
  </si>
  <si>
    <t>Uso indevido rejeitado; funções e destinos válidos aceitos; semântico preserva regressão.</t>
  </si>
  <si>
    <t>src/semantic.py</t>
  </si>
  <si>
    <t>COMO USAR | acompanhamento do trio</t>
  </si>
  <si>
    <t>TAC autêntico para Fork/Join e `par`</t>
  </si>
  <si>
    <t>Excel ou Google Sheets: compartilhe o arquivo para que os três editem a mesma cópia.</t>
  </si>
  <si>
    <t>Ordem</t>
  </si>
  <si>
    <t>O que fazer</t>
  </si>
  <si>
    <t>Onde</t>
  </si>
  <si>
    <t>Regra prática</t>
  </si>
  <si>
    <t>CORE-05, CORE-02</t>
  </si>
  <si>
    <t>Escolher a versão compartilhada</t>
  </si>
  <si>
    <t>OneDrive/Excel Online ou Google Drive</t>
  </si>
  <si>
    <t>Não manter três cópias diferentes: uma planilha é a fonte oficial do progresso.</t>
  </si>
  <si>
    <t>Preencher os nomes de B e C e horas disponíveis</t>
  </si>
  <si>
    <t>EQUIPE</t>
  </si>
  <si>
    <t>A já está identificado. Confirmar carga diária do trio; A tem limite de 3 h/dia.</t>
  </si>
  <si>
    <t>Aprovar contratos antes dos eixos trabalharem sem alinhamento</t>
  </si>
  <si>
    <t>CONTRATOS</t>
  </si>
  <si>
    <t>C-FJ, C-WEB e C-T11 são propostas; registrar aprovação e evidência.</t>
  </si>
  <si>
    <t>Selecionar o próximo card por prioridade e dependências</t>
  </si>
  <si>
    <t>TAREFAS</t>
  </si>
  <si>
    <t>Coluna Dependências OK? precisa mostrar OK; prazo sozinho nunca libera.</t>
  </si>
  <si>
    <t>Se houver mock aprovado, registrar EXCEÇÃO</t>
  </si>
  <si>
    <t>DEPENDENCIAS</t>
  </si>
  <si>
    <t>Marcar Mock aprovado? = Sim e preencher o link/descrição de evidência.</t>
  </si>
  <si>
    <t>Autorizar o card</t>
  </si>
  <si>
    <t>Marcar Autorizado? = Sim só após DoR e responsável definido; Pode iniciar? fica SIM.</t>
  </si>
  <si>
    <t>Atualizar estágio de execução</t>
  </si>
  <si>
    <t>CONTROLE POR EIXO</t>
  </si>
  <si>
    <t>CARDS</t>
  </si>
  <si>
    <t>Planejado → Pronto → Em andamento → Em revisão → Concluído. Bloqueado se necessário.</t>
  </si>
  <si>
    <t>CONCLUÍDOS</t>
  </si>
  <si>
    <t>HORAS PREVISTAS</t>
  </si>
  <si>
    <t>Exigir prova de conclusão</t>
  </si>
  <si>
    <t>TAREFAS / TESTES</t>
  </si>
  <si>
    <t>Não marcar Concluído sem log, oráculo, commit/PR ou evidência válida.</t>
  </si>
  <si>
    <t>Registrar trabalho real e bloqueios</t>
  </si>
  <si>
    <t>Atualizar horas reais e observações, citar quem precisa resolver o bloqueio.</t>
  </si>
  <si>
    <t>Conferir prazos e riscos diariamente</t>
  </si>
  <si>
    <t>PAINEL / RISCOS</t>
  </si>
  <si>
    <t>Somente M1 22/10, M2 29/10 e M3 03/11 são prazos de construção; nenhum card tem data própria.</t>
  </si>
  <si>
    <t>Revisar marcos em equipe</t>
  </si>
  <si>
    <t>MARCOS</t>
  </si>
  <si>
    <t>Encerrar cada marco com TODOS os cards P0 aceitos e as evidências; exceções devem ser decididas e registradas.</t>
  </si>
  <si>
    <t>Manter a referência técnica já existente</t>
  </si>
  <si>
    <t>docs/*.md no repositório</t>
  </si>
  <si>
    <t>A planilha substitui o board, não os requisitos e os contratos técnicos.</t>
  </si>
  <si>
    <t>Rodar agentes Codex com limites de arquivos</t>
  </si>
  <si>
    <t>AGENTS.md + cartão</t>
  </si>
  <si>
    <t>Agente de B não altera src/ e agente de C não altera web_didatica/ sem acordo.</t>
  </si>
  <si>
    <t>Evitar usar semana de estudo para implementar tudo</t>
  </si>
  <si>
    <t>04–10/11</t>
  </si>
  <si>
    <t>TAC representa criação, sincronização e fluxo; sem hardcodes</t>
  </si>
  <si>
    <t>Congelar até 03/11, estudar e ensaiar a apresentação com o trio.</t>
  </si>
  <si>
    <t>TAC distingue sequência/paralelismo; casos com diferentes tarefas geram representação coerente.</t>
  </si>
  <si>
    <t>src/tac.py</t>
  </si>
  <si>
    <t>RUN-03</t>
  </si>
  <si>
    <t>M3</t>
  </si>
  <si>
    <t>Gerar C++ que invoca runtime real de C</t>
  </si>
  <si>
    <t>CORE-05, RUN-01, RUN-02</t>
  </si>
  <si>
    <t>RUN-04</t>
  </si>
  <si>
    <t>CADA CARD HERDA O PRAZO DO MARCO. M1 22/10 | M2 29/10 | M3 03/11. Arquivo docs/05_MARCOS_DE_ENTREGA.md contém os critérios.</t>
  </si>
  <si>
    <t>MARCO</t>
  </si>
  <si>
    <t>RESTANTES</t>
  </si>
  <si>
    <t>Backend integra contratos `start/join` locais e remotos</t>
  </si>
  <si>
    <t>MiniPar→C++→binário cria tarefa local e remota de teste; join retorna dado correto.</t>
  </si>
  <si>
    <t>src/codegen.py, src/cpp_template.py</t>
  </si>
  <si>
    <t>T08-01</t>
  </si>
  <si>
    <t>Expor serviço de fases ao eixo Web</t>
  </si>
  <si>
    <t>CON-02, SET-02</t>
  </si>
  <si>
    <t>T09-01</t>
  </si>
  <si>
    <t>API Python estruturada com tokens, AST, símbolos, erros, TAC, C++</t>
  </si>
  <si>
    <t>Fixtures combinam com resultados reais; IDs evitam cache errado; erro separa fases.</t>
  </si>
  <si>
    <t>T10-01</t>
  </si>
  <si>
    <t>src/, app.py</t>
  </si>
  <si>
    <t>RUN-05</t>
  </si>
  <si>
    <t>Preservar terminal e Web antiga após mudanças</t>
  </si>
  <si>
    <t>CORE-07, CORE-08</t>
  </si>
  <si>
    <t>RUN-06</t>
  </si>
  <si>
    <t>INT-01</t>
  </si>
  <si>
    <t>CLI e Web original sem regressões relevantes</t>
  </si>
  <si>
    <t>Executar cenário básico nas duas interfaces e comparar com versão inicial.</t>
  </si>
  <si>
    <t>main.py, menu.py, app.py, templates/, static/</t>
  </si>
  <si>
    <t>Regressão final T01–T07 com oráculos reais</t>
  </si>
  <si>
    <t>CORE-02, CORE-03, CORE-07</t>
  </si>
  <si>
    <t>INT-02</t>
  </si>
  <si>
    <t>Executar testes 1–7 no código de A e registrar oráculos; A corrige src/</t>
  </si>
  <si>
    <t>Não há falsos PASS; bugs remanescentes com risco registrado.</t>
  </si>
  <si>
    <t>P1</t>
  </si>
  <si>
    <t>Wireframe e fixtures JSON dos painéis didáticos</t>
  </si>
  <si>
    <t>Design de fluxo editor/tokens/AST/semântico/TAC/C++/run</t>
  </si>
  <si>
    <t>Todas as fases navegáveis em mock; AST desenhada de fixture; Web original intocada.</t>
  </si>
  <si>
    <t>web_didatica/</t>
  </si>
  <si>
    <t>DOC-01</t>
  </si>
  <si>
    <t>Implementar AST interativa e painéis de fases</t>
  </si>
  <si>
    <t>DOC-02</t>
  </si>
  <si>
    <t>Visão hierárquica realista de AST; tokens, símbolos, diagnósticos, TAC, C++</t>
  </si>
  <si>
    <t>AST expandir/recolher; erros legíveis; programas grandes sem travar UI em exemplo.</t>
  </si>
  <si>
    <t>DOC-03</t>
  </si>
  <si>
    <t>Integrar UI ao serviço real fornecido pelo A</t>
  </si>
  <si>
    <t>CORE-08, WEB-02</t>
  </si>
  <si>
    <t>DOC-04</t>
  </si>
  <si>
    <t>Web didática usa resultados de compilação real</t>
  </si>
  <si>
    <t>Exemplo positivo e erro são fiéis à compilação; sem dados hardcoded no fluxo real.</t>
  </si>
  <si>
    <t>Compilar, executar e baixar binário atual</t>
  </si>
  <si>
    <t>Ações reais com timeout, stdout/stderr e download</t>
  </si>
  <si>
    <t>G++ realmente compila; returncode validado; download é artefato correto; timeout/erro apresentados.</t>
  </si>
  <si>
    <t>Recuperar prova experimental e concluir MVP MiniCompilador</t>
  </si>
  <si>
    <t>CON-03, CORE-03</t>
  </si>
  <si>
    <t>REL-01</t>
  </si>
  <si>
    <t>Expressões com parênteses, operadores, tokens, AST por índices, TAC</t>
  </si>
  <si>
    <t>Ao menos a primeira expressão obrigatória retorna 22 em programa MiniPar executado.</t>
  </si>
  <si>
    <t>tests/2026_2/test11/</t>
  </si>
  <si>
    <t>EST-01</t>
  </si>
  <si>
    <t>EST-02</t>
  </si>
  <si>
    <t>Completar semântica, símbolos, erros e emissão ARM do T11</t>
  </si>
  <si>
    <t>ENT-01</t>
  </si>
  <si>
    <t>Três expressões obrigatórias, tabela símbolos, impressão ARM e `.arm`</t>
  </si>
  <si>
    <t>Resultados 22,-84,22; nenhum valor fixo por entrada; erros relevantes rejeitados.</t>
  </si>
  <si>
    <t>Validar Assembly no CPUlator e arquivar evidências</t>
  </si>
  <si>
    <t>Arquivos ARM executados, prints/resultados com registrador final</t>
  </si>
  <si>
    <t>Três `.arm` executam com resultados; registrar CPUlator/versão e instruções.</t>
  </si>
  <si>
    <t>tests/2026_2/test11/, docs/evidencias/</t>
  </si>
  <si>
    <t>Documentar interface, T11 e preparar screenshots</t>
  </si>
  <si>
    <t>WEB-04, T11-03</t>
  </si>
  <si>
    <t>Pseudocódigo Teste 11, instruções UI, prints e explicações</t>
  </si>
  <si>
    <t>Seções prontos para relatório com evidências verificáveis.</t>
  </si>
  <si>
    <t>docs/, web_didatica/</t>
  </si>
  <si>
    <t>Runtime local de start/join com isolamento</t>
  </si>
  <si>
    <t>Funções registry, args isolados, handles e resultados</t>
  </si>
  <si>
    <t>`start` retorna sem aguardar tarefa; `join` aguarda e coleta resultado/erro em testes C++ isolados.</t>
  </si>
  <si>
    <t>runtime/</t>
  </si>
  <si>
    <t>Protocolo TCP robusto e worker pré-compilado</t>
  </si>
  <si>
    <t>framing, send_all/recv_exact, IDs, compatibilidade build, falhas</t>
  </si>
  <si>
    <t>Fragmentação, frame inválido, worker indisponível e duas tarefas fora de ordem testados.</t>
  </si>
  <si>
    <t>Prova de execução em dois computadores reais</t>
  </si>
  <si>
    <t>RUN-02, SET-03</t>
  </si>
  <si>
    <t>Coordinator/worker em hosts diferentes com cálculo e logs</t>
  </si>
  <si>
    <t>Provar IPs distintos e cálculo remoto verdadeiro; join com timeout quando worker cai.</t>
  </si>
  <si>
    <t>runtime/, docs/evidencias/</t>
  </si>
  <si>
    <t>Handoff de API runtime e integração com backend A</t>
  </si>
  <si>
    <t>RUN-01, RUN-03, CORE-05</t>
  </si>
  <si>
    <t>Header/build e testes interoperáveis com C++ gerado</t>
  </si>
  <si>
    <t>A integra `start/join` em CORE-07; teste simples local/remoto passa sem mexer `src/` via C.</t>
  </si>
  <si>
    <t>runtime/, docs/</t>
  </si>
  <si>
    <t>MiniPar T08: 160 avaliações em quatro trabalhadores</t>
  </si>
  <si>
    <t>RUN-04, CORE-07</t>
  </si>
  <si>
    <t>Programa completo e resultado agregado correto</t>
  </si>
  <si>
    <t>40×4=160, sem perda/duplicata, quatro workers, sequência/paralelo comparados corretamente.</t>
  </si>
  <si>
    <t>tests/2026_2/test08/</t>
  </si>
  <si>
    <t>MiniPar T09: avaliadores + Mandelbrot ASCII</t>
  </si>
  <si>
    <t>Cinco trabalhos, impressão ASCII e resultados de avaliações</t>
  </si>
  <si>
    <t>160 avaliações; fractal calculado dinamicamente; cinco tarefas sincronizadas.</t>
  </si>
  <si>
    <t>tests/2026_2/test09/</t>
  </si>
  <si>
    <t>MiniPar T10: avaliações + Mandelbrot + Sierpinski</t>
  </si>
  <si>
    <t>Seis trabalhos planejados e fractais visualmente verificáveis</t>
  </si>
  <si>
    <t>Fractais produzidos; trabalho Sierpinski realmente integrado ao modelo; documentar divergência da referência Python.</t>
  </si>
  <si>
    <t>tests/2026_2/test10/</t>
  </si>
  <si>
    <t>Benchmarks e falhas distribuídas repetíveis</t>
  </si>
  <si>
    <t>T10-01, RUN-03</t>
  </si>
  <si>
    <t>Tempos justos, speedup, registro de hosts e falhas</t>
  </si>
  <si>
    <t>Cargas sequencial/paralela equivalentes; relatório sem confundir workers com núcleos físicos.</t>
  </si>
  <si>
    <t>tests/2026_2/, docs/evidencias/</t>
  </si>
  <si>
    <t>Documentar protocolo, topologia, deploy e testes</t>
  </si>
  <si>
    <t>README runtime, diagrama e evidências de duas máquinas</t>
  </si>
  <si>
    <t>Outro integrante reproduz dois PCs seguindo instruções; logs sem dados pessoais.</t>
  </si>
  <si>
    <t>Smoke de integração 3 eixos antes do fechamento</t>
  </si>
  <si>
    <t>CORE-07, WEB-03, RUN-04</t>
  </si>
  <si>
    <t>Coordenação de smoke da integração; A valida alterações de interfaces do núcleo</t>
  </si>
  <si>
    <t>Teste único ponta a ponta reproduzível, resultados anexados, defeitos classificados.</t>
  </si>
  <si>
    <t>Regressão integral, três interfaces e rede real</t>
  </si>
  <si>
    <t>INT-01, WEB-04, T11-03, T10-01, CORE-10</t>
  </si>
  <si>
    <t>Coordenação da regressão final; A e C validam respectivamente compilador e runtime</t>
  </si>
  <si>
    <t>Cada caso PASS/FAIL/BLOCKED com oráculo; falhas e severidade registradas.</t>
  </si>
  <si>
    <t>BNF final e pseudocódigos núcleo</t>
  </si>
  <si>
    <t>Consolidar BNF e pseudocódigos a partir do código de A; A aprova exatidão</t>
  </si>
  <si>
    <t>Consistência com implementação real e regras de Fork/Join.</t>
  </si>
  <si>
    <t>docs/</t>
  </si>
  <si>
    <t>UML casos de uso, componentes, classes</t>
  </si>
  <si>
    <t>Produzir UML a partir das interfaces reais dos três eixos; A/C revisam</t>
  </si>
  <si>
    <t>Interfaces e classes existentes, geradores TAC/C++ incluídos; peer review dos eixos.</t>
  </si>
  <si>
    <t>Product Backlog, Sprint Backlogs e decisões atualizados</t>
  </si>
  <si>
    <t>Atualizar Product/Sprint Backlogs e decisões com insumos dos três eixos</t>
  </si>
  <si>
    <t>Corresponde ao desenvolvimento feito, sem declarar resultado inexistente.</t>
  </si>
  <si>
    <t>Relatório completo, evidências e GitHub na capa</t>
  </si>
  <si>
    <t>INT-02, DOC-01, DOC-02, DOC-03, WEB-05, RUN-06</t>
  </si>
  <si>
    <t>Consolidar relatório e evidências de A/B/C com link GitHub na capa; revisão conjunta</t>
  </si>
  <si>
    <t>Professor encontra todos entregáveis; referências e anexos testados.</t>
  </si>
  <si>
    <t>docs/, README.md</t>
  </si>
  <si>
    <t>Congelar release candidata 03/11</t>
  </si>
  <si>
    <t>Tag, checklist, instruções, estado conhecido</t>
  </si>
  <si>
    <t>Build reproduzível a partir de checkout limpo; evidências acessíveis; pendências explícitas.</t>
  </si>
  <si>
    <t>Estudo de módulos e roteiro individual</t>
  </si>
  <si>
    <t>Três pessoas com roteiro e demonstrações compreendidas</t>
  </si>
  <si>
    <t>Cada um explica seu eixo e fluxo completo; coordenador reserva tempo CG.</t>
  </si>
  <si>
    <t>ESTUDO</t>
  </si>
  <si>
    <t>Ensaio completo e contingência de demo</t>
  </si>
  <si>
    <t>Ensaio de ponta a ponta, video/log backup, falas</t>
  </si>
  <si>
    <t>Cada aluno apresenta e responde conceitos; dois computadores/CPUlator testados.</t>
  </si>
  <si>
    <t>Entrega final 11/11</t>
  </si>
  <si>
    <t>GitHub, relatório, programas, executáveis e apresentações</t>
  </si>
  <si>
    <t>Links conferidos, arquivos entregues, sistema demonstrável e documentação coerente.</t>
  </si>
  <si>
    <t>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</si>
</sst>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rgb="FF18263A"/>
      <name val="Carlito"/>
    </font>
    <font>
      <sz val="11.0"/>
      <color theme="1"/>
      <name val="Carlito"/>
    </font>
    <font>
      <b/>
      <sz val="11.0"/>
      <color theme="1"/>
      <name val="Carlito"/>
    </font>
    <font>
      <color theme="1"/>
      <name val="Carlito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42238"/>
        <bgColor rgb="FF142238"/>
      </patternFill>
    </fill>
    <fill>
      <patternFill patternType="solid">
        <fgColor rgb="FFE9EEF5"/>
        <bgColor rgb="FFE9EEF5"/>
      </patternFill>
    </fill>
    <fill>
      <patternFill patternType="solid">
        <fgColor rgb="FF0D7C80"/>
        <bgColor rgb="FF0D7C80"/>
      </patternFill>
    </fill>
    <fill>
      <patternFill patternType="solid">
        <fgColor rgb="FFDCF3F0"/>
        <bgColor rgb="FFDCF3F0"/>
      </patternFill>
    </fill>
    <fill>
      <patternFill patternType="solid">
        <fgColor rgb="FF0E3A5D"/>
        <bgColor rgb="FF0E3A5D"/>
      </patternFill>
    </fill>
    <fill>
      <patternFill patternType="solid">
        <fgColor rgb="FFDCE9FA"/>
        <bgColor rgb="FFDCE9FA"/>
      </patternFill>
    </fill>
    <fill>
      <patternFill patternType="solid">
        <fgColor rgb="FFFFF3D6"/>
        <bgColor rgb="FFFFF3D6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vertical="center"/>
    </xf>
    <xf borderId="0" fillId="4" fontId="1" numFmtId="0" xfId="0" applyAlignment="1" applyFill="1" applyFont="1">
      <alignment shrinkToFit="0" vertical="center" wrapText="1"/>
    </xf>
    <xf borderId="0" fillId="0" fontId="2" numFmtId="0" xfId="0" applyAlignment="1" applyFont="1">
      <alignment vertical="center"/>
    </xf>
    <xf borderId="0" fillId="5" fontId="2" numFmtId="0" xfId="0" applyAlignment="1" applyFill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1" xfId="0" applyAlignment="1" applyFont="1" applyNumberFormat="1">
      <alignment vertical="center"/>
    </xf>
    <xf borderId="0" fillId="5" fontId="2" numFmtId="1" xfId="0" applyAlignment="1" applyFill="1" applyFont="1" applyNumberFormat="1">
      <alignment vertical="center"/>
    </xf>
    <xf borderId="0" fillId="5" fontId="2" numFmtId="0" xfId="0" applyAlignment="1" applyFill="1" applyFont="1">
      <alignment readingOrder="0" vertical="center"/>
    </xf>
    <xf borderId="0" fillId="3" fontId="2" numFmtId="0" xfId="0" applyAlignment="1" applyFill="1" applyFont="1">
      <alignment shrinkToFit="0" vertical="center" wrapText="1"/>
    </xf>
    <xf borderId="0" fillId="4" fontId="1" numFmtId="0" xfId="0" applyAlignment="1" applyFill="1" applyFont="1">
      <alignment horizontal="left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6" fontId="1" numFmtId="0" xfId="0" applyAlignment="1" applyFill="1" applyFont="1">
      <alignment horizontal="center" vertical="center"/>
    </xf>
    <xf borderId="0" fillId="5" fontId="2" numFmtId="0" xfId="0" applyAlignment="1" applyFill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7" fontId="2" numFmtId="0" xfId="0" applyAlignment="1" applyFill="1" applyFont="1">
      <alignment shrinkToFit="0" vertical="center" wrapText="0"/>
    </xf>
    <xf borderId="0" fillId="5" fontId="2" numFmtId="165" xfId="0" applyAlignment="1" applyFill="1" applyFont="1" applyNumberFormat="1">
      <alignment shrinkToFit="0" vertical="center" wrapText="0"/>
    </xf>
    <xf borderId="0" fillId="0" fontId="3" numFmtId="0" xfId="0" applyAlignment="1" applyFont="1">
      <alignment horizontal="center"/>
    </xf>
    <xf borderId="0" fillId="4" fontId="1" numFmtId="0" xfId="0" applyFill="1" applyFont="1"/>
    <xf borderId="0" fillId="0" fontId="4" numFmtId="0" xfId="0" applyFont="1"/>
    <xf borderId="0" fillId="5" fontId="3" numFmtId="1" xfId="0" applyFill="1" applyFont="1" applyNumberFormat="1"/>
    <xf borderId="0" fillId="0" fontId="5" numFmtId="0" xfId="0" applyFont="1"/>
    <xf borderId="0" fillId="5" fontId="3" numFmtId="9" xfId="0" applyFill="1" applyFont="1" applyNumberFormat="1"/>
    <xf borderId="0" fillId="5" fontId="3" numFmtId="165" xfId="0" applyFill="1" applyFont="1" applyNumberFormat="1"/>
    <xf borderId="0" fillId="0" fontId="3" numFmtId="164" xfId="0" applyFont="1" applyNumberFormat="1"/>
    <xf borderId="0" fillId="8" fontId="3" numFmtId="0" xfId="0" applyFill="1" applyFont="1"/>
    <xf borderId="0" fillId="6" fontId="1" numFmtId="0" xfId="0" applyAlignment="1" applyFill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E4F5E9"/>
          <bgColor rgb="FFE4F5E9"/>
        </patternFill>
      </fill>
      <border/>
    </dxf>
    <dxf>
      <font/>
      <fill>
        <patternFill patternType="solid">
          <fgColor rgb="FFFCE8E7"/>
          <bgColor rgb="FFFCE8E7"/>
        </patternFill>
      </fill>
      <border/>
    </dxf>
    <dxf>
      <font/>
      <fill>
        <patternFill patternType="solid">
          <fgColor rgb="FFFFF3D6"/>
          <bgColor rgb="FFFFF3D6"/>
        </patternFill>
      </fill>
      <border/>
    </dxf>
  </dxfs>
  <tableStyles count="2">
    <tableStyle count="4" pivot="0" name="TAREF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PENDENCI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P47" displayName="MiniParTasks" name="MiniParTasks" id="1">
  <tableColumns count="16">
    <tableColumn name="ID" id="1"/>
    <tableColumn name="Eixo" id="2"/>
    <tableColumn name="Responsável" id="3"/>
    <tableColumn name="Prioridade" id="4"/>
    <tableColumn name="Tarefa" id="5"/>
    <tableColumn name="Prazo do MARCO" id="6"/>
    <tableColumn name="Depende de" id="7"/>
    <tableColumn name="Dependências OK?" id="8"/>
    <tableColumn name="Autorizado?" id="9"/>
    <tableColumn name="Status" id="10"/>
    <tableColumn name="Horas reais" id="11"/>
    <tableColumn name="Entregável" id="12"/>
    <tableColumn name="Critério de aceite" id="13"/>
    <tableColumn name="Arquivos permitidos" id="14"/>
    <tableColumn name="Evidência / link" id="15"/>
    <tableColumn name="Bloqueio / observações" id="16"/>
  </tableColumns>
  <tableStyleInfo name="TAREFAS-style" showColumnStripes="0" showFirstColumn="1" showLastColumn="1" showRowStripes="1"/>
</table>
</file>

<file path=xl/tables/table2.xml><?xml version="1.0" encoding="utf-8"?>
<table xmlns="http://schemas.openxmlformats.org/spreadsheetml/2006/main" ref="A4:F72" displayName="MiniParDependencies" name="MiniParDependencies" id="2">
  <tableColumns count="6">
    <tableColumn name="Card dependente" id="1"/>
    <tableColumn name="Depende de" id="2"/>
    <tableColumn name="Status da pré-tarefa" id="3"/>
    <tableColumn name="Resultado" id="4"/>
    <tableColumn name="Mock aprovado?" id="5"/>
    <tableColumn name="Evidência do mock / contrato" id="6"/>
  </tableColumns>
  <tableStyleInfo name="DEPENDENC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0"/>
    <col customWidth="1" min="2" max="2" width="22.0"/>
    <col customWidth="1" min="3" max="4" width="43.0"/>
    <col customWidth="1" min="5" max="5" width="39.0"/>
    <col customWidth="1" min="6" max="6" width="15.0"/>
    <col customWidth="1" min="7" max="7" width="22.0"/>
    <col customWidth="1" min="8" max="8" width="62.0"/>
    <col customWidth="1" min="9" max="26" width="8.63"/>
  </cols>
  <sheetData>
    <row r="1" ht="36.0" customHeight="1">
      <c r="A1" s="1" t="s">
        <v>0</v>
      </c>
    </row>
    <row r="2" ht="27.75" customHeight="1">
      <c r="A2" s="2" t="s">
        <v>2</v>
      </c>
    </row>
    <row r="3" ht="9.75" customHeight="1"/>
    <row r="4" ht="30.0" customHeight="1">
      <c r="A4" s="3" t="s">
        <v>4</v>
      </c>
      <c r="B4" s="3" t="s">
        <v>6</v>
      </c>
      <c r="C4" s="3" t="s">
        <v>9</v>
      </c>
      <c r="D4" s="3" t="s">
        <v>11</v>
      </c>
      <c r="E4" s="3" t="s">
        <v>13</v>
      </c>
      <c r="F4" s="3" t="s">
        <v>14</v>
      </c>
      <c r="G4" s="3" t="s">
        <v>16</v>
      </c>
      <c r="H4" s="3" t="s">
        <v>18</v>
      </c>
    </row>
    <row r="5" ht="27.0" customHeight="1">
      <c r="A5" s="4" t="s">
        <v>20</v>
      </c>
      <c r="B5" s="5" t="s">
        <v>21</v>
      </c>
      <c r="C5" s="4" t="s">
        <v>22</v>
      </c>
      <c r="D5" s="4" t="s">
        <v>23</v>
      </c>
      <c r="E5" s="4" t="s">
        <v>25</v>
      </c>
      <c r="F5" s="8">
        <v>49.0</v>
      </c>
      <c r="G5" s="9">
        <v>57.0</v>
      </c>
      <c r="H5" s="4" t="s">
        <v>28</v>
      </c>
    </row>
    <row r="6" ht="27.0" customHeight="1">
      <c r="A6" s="4" t="s">
        <v>29</v>
      </c>
      <c r="B6" s="10" t="s">
        <v>30</v>
      </c>
      <c r="C6" s="4" t="s">
        <v>31</v>
      </c>
      <c r="D6" s="4" t="s">
        <v>32</v>
      </c>
      <c r="E6" s="4" t="s">
        <v>33</v>
      </c>
      <c r="F6" s="8">
        <v>60.0</v>
      </c>
      <c r="G6" s="9"/>
      <c r="H6" s="4" t="s">
        <v>34</v>
      </c>
    </row>
    <row r="7" ht="27.0" customHeight="1">
      <c r="A7" s="4" t="s">
        <v>36</v>
      </c>
      <c r="B7" s="10" t="s">
        <v>37</v>
      </c>
      <c r="C7" s="4" t="s">
        <v>38</v>
      </c>
      <c r="D7" s="4" t="s">
        <v>40</v>
      </c>
      <c r="E7" s="4" t="s">
        <v>41</v>
      </c>
      <c r="F7" s="8">
        <v>62.0</v>
      </c>
      <c r="G7" s="9"/>
      <c r="H7" s="4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2" width="10.0"/>
    <col customWidth="1" min="3" max="3" width="23.0"/>
    <col customWidth="1" min="4" max="4" width="12.0"/>
    <col customWidth="1" min="5" max="5" width="48.0"/>
    <col customWidth="1" min="6" max="6" width="16.0"/>
    <col customWidth="1" min="7" max="7" width="30.0"/>
    <col customWidth="1" min="8" max="8" width="19.0"/>
    <col customWidth="1" min="9" max="9" width="16.0"/>
    <col customWidth="1" min="10" max="10" width="19.0"/>
    <col customWidth="1" min="11" max="11" width="15.0"/>
    <col customWidth="1" min="12" max="12" width="62.0"/>
    <col customWidth="1" min="13" max="13" width="75.0"/>
    <col customWidth="1" min="14" max="14" width="46.0"/>
    <col customWidth="1" min="15" max="15" width="42.0"/>
    <col customWidth="1" min="16" max="16" width="45.0"/>
    <col customWidth="1" min="17" max="17" width="14.0"/>
    <col customWidth="1" min="18" max="23" width="8.63"/>
  </cols>
  <sheetData>
    <row r="1" ht="36.0" customHeight="1">
      <c r="A1" s="1" t="s">
        <v>39</v>
      </c>
    </row>
    <row r="2" ht="30.0" customHeight="1">
      <c r="A2" s="11" t="s">
        <v>46</v>
      </c>
    </row>
    <row r="3" ht="9.75" customHeight="1"/>
    <row r="4" ht="24.75" customHeight="1">
      <c r="A4" s="12" t="s">
        <v>49</v>
      </c>
      <c r="B4" s="12" t="s">
        <v>4</v>
      </c>
      <c r="C4" s="12" t="s">
        <v>65</v>
      </c>
      <c r="D4" s="12" t="s">
        <v>68</v>
      </c>
      <c r="E4" s="12" t="s">
        <v>70</v>
      </c>
      <c r="F4" s="13" t="s">
        <v>72</v>
      </c>
      <c r="G4" s="12" t="s">
        <v>62</v>
      </c>
      <c r="H4" s="12" t="s">
        <v>74</v>
      </c>
      <c r="I4" s="12" t="s">
        <v>75</v>
      </c>
      <c r="J4" s="12" t="s">
        <v>76</v>
      </c>
      <c r="K4" s="12" t="s">
        <v>77</v>
      </c>
      <c r="L4" s="12" t="s">
        <v>78</v>
      </c>
      <c r="M4" s="12" t="s">
        <v>79</v>
      </c>
      <c r="N4" s="12" t="s">
        <v>80</v>
      </c>
      <c r="O4" s="12" t="s">
        <v>81</v>
      </c>
      <c r="P4" s="12" t="s">
        <v>82</v>
      </c>
      <c r="Q4" s="15" t="s">
        <v>5</v>
      </c>
    </row>
    <row r="5" ht="27.0" customHeight="1">
      <c r="A5" s="14" t="s">
        <v>73</v>
      </c>
      <c r="B5" s="14" t="s">
        <v>20</v>
      </c>
      <c r="C5" s="14" t="str">
        <f>IF(B5="A",EQUIPE!$B$5,IF(B5="B",EQUIPE!$B$6,IF(B5="C",EQUIPE!$B$7,IF(B5="A+B",EQUIPE!$B$5&amp;" + "&amp;EQUIPE!$B$6,IF(B5="A+C",EQUIPE!$B$5&amp;" + "&amp;EQUIPE!$B$7,"Trio")))))</f>
        <v>Victor André</v>
      </c>
      <c r="D5" s="14" t="s">
        <v>85</v>
      </c>
      <c r="E5" s="14" t="s">
        <v>86</v>
      </c>
      <c r="F5" s="17">
        <v>46317.0</v>
      </c>
      <c r="G5" s="14" t="s">
        <v>87</v>
      </c>
      <c r="H5" s="14" t="str">
        <f>IF(COUNTIF(DEPENDENCIAS!$A$5:$A$72,A5)=0,"OK",IF(COUNTIFS(DEPENDENCIAS!$A$5:$A$72,A5,DEPENDENCIAS!$D$5:$D$72,"PENDENTE")=0,"OK","AGUARDAR"))</f>
        <v>OK</v>
      </c>
      <c r="I5" s="16" t="s">
        <v>83</v>
      </c>
      <c r="J5" s="18" t="s">
        <v>89</v>
      </c>
      <c r="K5" s="19"/>
      <c r="L5" s="14" t="s">
        <v>90</v>
      </c>
      <c r="M5" s="14" t="s">
        <v>91</v>
      </c>
      <c r="N5" s="14" t="s">
        <v>92</v>
      </c>
      <c r="O5" s="16"/>
      <c r="P5" s="16"/>
      <c r="Q5" s="20" t="s">
        <v>94</v>
      </c>
    </row>
    <row r="6" ht="27.0" customHeight="1">
      <c r="A6" s="14" t="s">
        <v>71</v>
      </c>
      <c r="B6" s="14" t="s">
        <v>20</v>
      </c>
      <c r="C6" s="14" t="str">
        <f>IF(B6="A",EQUIPE!$B$5,IF(B6="B",EQUIPE!$B$6,IF(B6="C",EQUIPE!$B$7,IF(B6="A+B",EQUIPE!$B$5&amp;" + "&amp;EQUIPE!$B$6,IF(B6="A+C",EQUIPE!$B$5&amp;" + "&amp;EQUIPE!$B$7,"Trio")))))</f>
        <v>Victor André</v>
      </c>
      <c r="D6" s="14" t="s">
        <v>85</v>
      </c>
      <c r="E6" s="14" t="s">
        <v>96</v>
      </c>
      <c r="F6" s="17">
        <v>46317.0</v>
      </c>
      <c r="G6" s="14" t="s">
        <v>73</v>
      </c>
      <c r="H6" s="14" t="str">
        <f>IF(COUNTIF(DEPENDENCIAS!$A$5:$A$72,A6)=0,"OK",IF(COUNTIFS(DEPENDENCIAS!$A$5:$A$72,A6,DEPENDENCIAS!$D$5:$D$72,"PENDENTE")=0,"OK","AGUARDAR"))</f>
        <v>AGUARDAR</v>
      </c>
      <c r="I6" s="16" t="s">
        <v>83</v>
      </c>
      <c r="J6" s="18" t="s">
        <v>89</v>
      </c>
      <c r="K6" s="19"/>
      <c r="L6" s="14" t="s">
        <v>98</v>
      </c>
      <c r="M6" s="14" t="s">
        <v>99</v>
      </c>
      <c r="N6" s="14" t="s">
        <v>100</v>
      </c>
      <c r="O6" s="16"/>
      <c r="P6" s="16"/>
      <c r="Q6" s="20" t="s">
        <v>94</v>
      </c>
    </row>
    <row r="7" ht="27.0" customHeight="1">
      <c r="A7" s="14" t="s">
        <v>103</v>
      </c>
      <c r="B7" s="14" t="s">
        <v>20</v>
      </c>
      <c r="C7" s="14" t="str">
        <f>IF(B7="A",EQUIPE!$B$5,IF(B7="B",EQUIPE!$B$6,IF(B7="C",EQUIPE!$B$7,IF(B7="A+B",EQUIPE!$B$5&amp;" + "&amp;EQUIPE!$B$6,IF(B7="A+C",EQUIPE!$B$5&amp;" + "&amp;EQUIPE!$B$7,"Trio")))))</f>
        <v>Victor André</v>
      </c>
      <c r="D7" s="14" t="s">
        <v>85</v>
      </c>
      <c r="E7" s="14" t="s">
        <v>122</v>
      </c>
      <c r="F7" s="17">
        <v>46317.0</v>
      </c>
      <c r="G7" s="14" t="s">
        <v>87</v>
      </c>
      <c r="H7" s="14" t="str">
        <f>IF(COUNTIF(DEPENDENCIAS!$A$5:$A$72,A7)=0,"OK",IF(COUNTIFS(DEPENDENCIAS!$A$5:$A$72,A7,DEPENDENCIAS!$D$5:$D$72,"PENDENTE")=0,"OK","AGUARDAR"))</f>
        <v>OK</v>
      </c>
      <c r="I7" s="16" t="s">
        <v>83</v>
      </c>
      <c r="J7" s="18" t="s">
        <v>89</v>
      </c>
      <c r="K7" s="19"/>
      <c r="L7" s="14" t="s">
        <v>126</v>
      </c>
      <c r="M7" s="14" t="s">
        <v>127</v>
      </c>
      <c r="N7" s="14" t="s">
        <v>128</v>
      </c>
      <c r="O7" s="16"/>
      <c r="P7" s="16"/>
      <c r="Q7" s="20" t="s">
        <v>94</v>
      </c>
    </row>
    <row r="8" ht="27.0" customHeight="1">
      <c r="A8" s="14" t="s">
        <v>84</v>
      </c>
      <c r="B8" s="14" t="s">
        <v>131</v>
      </c>
      <c r="C8" s="14" t="str">
        <f>IF(B8="A",EQUIPE!$B$5,IF(B8="B",EQUIPE!$B$6,IF(B8="C",EQUIPE!$B$7,IF(B8="A+B",EQUIPE!$B$5&amp;" + "&amp;EQUIPE!$B$6,IF(B8="A+C",EQUIPE!$B$5&amp;" + "&amp;EQUIPE!$B$7,"Trio")))))</f>
        <v>Victor André + Erasmo</v>
      </c>
      <c r="D8" s="14" t="s">
        <v>85</v>
      </c>
      <c r="E8" s="14" t="s">
        <v>147</v>
      </c>
      <c r="F8" s="17">
        <v>46317.0</v>
      </c>
      <c r="G8" s="14" t="s">
        <v>73</v>
      </c>
      <c r="H8" s="14" t="str">
        <f>IF(COUNTIF(DEPENDENCIAS!$A$5:$A$72,A8)=0,"OK",IF(COUNTIFS(DEPENDENCIAS!$A$5:$A$72,A8,DEPENDENCIAS!$D$5:$D$72,"PENDENTE")=0,"OK","AGUARDAR"))</f>
        <v>AGUARDAR</v>
      </c>
      <c r="I8" s="16" t="s">
        <v>83</v>
      </c>
      <c r="J8" s="18" t="s">
        <v>89</v>
      </c>
      <c r="K8" s="19"/>
      <c r="L8" s="14" t="s">
        <v>167</v>
      </c>
      <c r="M8" s="14" t="s">
        <v>170</v>
      </c>
      <c r="N8" s="14" t="s">
        <v>174</v>
      </c>
      <c r="O8" s="16"/>
      <c r="P8" s="16"/>
      <c r="Q8" s="20" t="s">
        <v>94</v>
      </c>
    </row>
    <row r="9" ht="27.0" customHeight="1">
      <c r="A9" s="14" t="s">
        <v>88</v>
      </c>
      <c r="B9" s="14" t="s">
        <v>180</v>
      </c>
      <c r="C9" s="14" t="str">
        <f>IF(B9="A",EQUIPE!$B$5,IF(B9="B",EQUIPE!$B$6,IF(B9="C",EQUIPE!$B$7,IF(B9="A+B",EQUIPE!$B$5&amp;" + "&amp;EQUIPE!$B$6,IF(B9="A+C",EQUIPE!$B$5&amp;" + "&amp;EQUIPE!$B$7,"Trio")))))</f>
        <v>Victor André + Riquelme</v>
      </c>
      <c r="D9" s="14" t="s">
        <v>85</v>
      </c>
      <c r="E9" s="14" t="s">
        <v>182</v>
      </c>
      <c r="F9" s="17">
        <v>46317.0</v>
      </c>
      <c r="G9" s="14" t="s">
        <v>73</v>
      </c>
      <c r="H9" s="14" t="str">
        <f>IF(COUNTIF(DEPENDENCIAS!$A$5:$A$72,A9)=0,"OK",IF(COUNTIFS(DEPENDENCIAS!$A$5:$A$72,A9,DEPENDENCIAS!$D$5:$D$72,"PENDENTE")=0,"OK","AGUARDAR"))</f>
        <v>AGUARDAR</v>
      </c>
      <c r="I9" s="16" t="s">
        <v>83</v>
      </c>
      <c r="J9" s="18" t="s">
        <v>89</v>
      </c>
      <c r="K9" s="19"/>
      <c r="L9" s="14" t="s">
        <v>184</v>
      </c>
      <c r="M9" s="14" t="s">
        <v>185</v>
      </c>
      <c r="N9" s="14" t="s">
        <v>174</v>
      </c>
      <c r="O9" s="16"/>
      <c r="P9" s="16"/>
      <c r="Q9" s="20" t="s">
        <v>94</v>
      </c>
    </row>
    <row r="10" ht="27.0" customHeight="1">
      <c r="A10" s="14" t="s">
        <v>93</v>
      </c>
      <c r="B10" s="14" t="s">
        <v>180</v>
      </c>
      <c r="C10" s="14" t="str">
        <f>IF(B10="A",EQUIPE!$B$5,IF(B10="B",EQUIPE!$B$6,IF(B10="C",EQUIPE!$B$7,IF(B10="A+B",EQUIPE!$B$5&amp;" + "&amp;EQUIPE!$B$6,IF(B10="A+C",EQUIPE!$B$5&amp;" + "&amp;EQUIPE!$B$7,"Trio")))))</f>
        <v>Victor André + Riquelme</v>
      </c>
      <c r="D10" s="14" t="s">
        <v>85</v>
      </c>
      <c r="E10" s="14" t="s">
        <v>187</v>
      </c>
      <c r="F10" s="17">
        <v>46317.0</v>
      </c>
      <c r="G10" s="14" t="s">
        <v>73</v>
      </c>
      <c r="H10" s="14" t="str">
        <f>IF(COUNTIF(DEPENDENCIAS!$A$5:$A$72,A10)=0,"OK",IF(COUNTIFS(DEPENDENCIAS!$A$5:$A$72,A10,DEPENDENCIAS!$D$5:$D$72,"PENDENTE")=0,"OK","AGUARDAR"))</f>
        <v>AGUARDAR</v>
      </c>
      <c r="I10" s="16" t="s">
        <v>83</v>
      </c>
      <c r="J10" s="18" t="s">
        <v>89</v>
      </c>
      <c r="K10" s="19"/>
      <c r="L10" s="14" t="s">
        <v>188</v>
      </c>
      <c r="M10" s="14" t="s">
        <v>190</v>
      </c>
      <c r="N10" s="14" t="s">
        <v>174</v>
      </c>
      <c r="O10" s="16"/>
      <c r="P10" s="16"/>
      <c r="Q10" s="20" t="s">
        <v>94</v>
      </c>
    </row>
    <row r="11" ht="27.0" customHeight="1">
      <c r="A11" s="14" t="s">
        <v>95</v>
      </c>
      <c r="B11" s="14" t="s">
        <v>36</v>
      </c>
      <c r="C11" s="14" t="str">
        <f>IF(B11="A",EQUIPE!$B$5,IF(B11="B",EQUIPE!$B$6,IF(B11="C",EQUIPE!$B$7,IF(B11="A+B",EQUIPE!$B$5&amp;" + "&amp;EQUIPE!$B$6,IF(B11="A+C",EQUIPE!$B$5&amp;" + "&amp;EQUIPE!$B$7,"Trio")))))</f>
        <v>Erasmo</v>
      </c>
      <c r="D11" s="14" t="s">
        <v>85</v>
      </c>
      <c r="E11" s="14" t="s">
        <v>191</v>
      </c>
      <c r="F11" s="17">
        <v>46317.0</v>
      </c>
      <c r="G11" s="14" t="s">
        <v>71</v>
      </c>
      <c r="H11" s="14" t="str">
        <f>IF(COUNTIF(DEPENDENCIAS!$A$5:$A$72,A11)=0,"OK",IF(COUNTIFS(DEPENDENCIAS!$A$5:$A$72,A11,DEPENDENCIAS!$D$5:$D$72,"PENDENTE")=0,"OK","AGUARDAR"))</f>
        <v>AGUARDAR</v>
      </c>
      <c r="I11" s="16" t="s">
        <v>83</v>
      </c>
      <c r="J11" s="18" t="s">
        <v>89</v>
      </c>
      <c r="K11" s="19"/>
      <c r="L11" s="14" t="s">
        <v>218</v>
      </c>
      <c r="M11" s="14" t="s">
        <v>221</v>
      </c>
      <c r="N11" s="14" t="s">
        <v>224</v>
      </c>
      <c r="O11" s="16"/>
      <c r="P11" s="16"/>
      <c r="Q11" s="20" t="s">
        <v>94</v>
      </c>
    </row>
    <row r="12" ht="27.0" customHeight="1">
      <c r="A12" s="14" t="s">
        <v>97</v>
      </c>
      <c r="B12" s="14" t="s">
        <v>20</v>
      </c>
      <c r="C12" s="14" t="str">
        <f>IF(B12="A",EQUIPE!$B$5,IF(B12="B",EQUIPE!$B$6,IF(B12="C",EQUIPE!$B$7,IF(B12="A+B",EQUIPE!$B$5&amp;" + "&amp;EQUIPE!$B$6,IF(B12="A+C",EQUIPE!$B$5&amp;" + "&amp;EQUIPE!$B$7,"Trio")))))</f>
        <v>Victor André</v>
      </c>
      <c r="D12" s="14" t="s">
        <v>85</v>
      </c>
      <c r="E12" s="14" t="s">
        <v>261</v>
      </c>
      <c r="F12" s="17">
        <v>46324.0</v>
      </c>
      <c r="G12" s="14" t="s">
        <v>95</v>
      </c>
      <c r="H12" s="14" t="str">
        <f>IF(COUNTIF(DEPENDENCIAS!$A$5:$A$72,A12)=0,"OK",IF(COUNTIFS(DEPENDENCIAS!$A$5:$A$72,A12,DEPENDENCIAS!$D$5:$D$72,"PENDENTE")=0,"OK","AGUARDAR"))</f>
        <v>AGUARDAR</v>
      </c>
      <c r="I12" s="16" t="s">
        <v>83</v>
      </c>
      <c r="J12" s="18" t="s">
        <v>89</v>
      </c>
      <c r="K12" s="19"/>
      <c r="L12" s="14" t="s">
        <v>298</v>
      </c>
      <c r="M12" s="14" t="s">
        <v>302</v>
      </c>
      <c r="N12" s="14" t="s">
        <v>304</v>
      </c>
      <c r="O12" s="16"/>
      <c r="P12" s="16"/>
      <c r="Q12" s="20" t="s">
        <v>305</v>
      </c>
    </row>
    <row r="13" ht="27.0" customHeight="1">
      <c r="A13" s="14" t="s">
        <v>101</v>
      </c>
      <c r="B13" s="14" t="s">
        <v>20</v>
      </c>
      <c r="C13" s="14" t="str">
        <f>IF(B13="A",EQUIPE!$B$5,IF(B13="B",EQUIPE!$B$6,IF(B13="C",EQUIPE!$B$7,IF(B13="A+B",EQUIPE!$B$5&amp;" + "&amp;EQUIPE!$B$6,IF(B13="A+C",EQUIPE!$B$5&amp;" + "&amp;EQUIPE!$B$7,"Trio")))))</f>
        <v>Victor André</v>
      </c>
      <c r="D13" s="14" t="s">
        <v>85</v>
      </c>
      <c r="E13" s="14" t="s">
        <v>307</v>
      </c>
      <c r="F13" s="17">
        <v>46317.0</v>
      </c>
      <c r="G13" s="14" t="s">
        <v>308</v>
      </c>
      <c r="H13" s="14" t="str">
        <f>IF(COUNTIF(DEPENDENCIAS!$A$5:$A$72,A13)=0,"OK",IF(COUNTIFS(DEPENDENCIAS!$A$5:$A$72,A13,DEPENDENCIAS!$D$5:$D$72,"PENDENTE")=0,"OK","AGUARDAR"))</f>
        <v>AGUARDAR</v>
      </c>
      <c r="I13" s="16" t="s">
        <v>83</v>
      </c>
      <c r="J13" s="18" t="s">
        <v>89</v>
      </c>
      <c r="K13" s="19"/>
      <c r="L13" s="14" t="s">
        <v>309</v>
      </c>
      <c r="M13" s="14" t="s">
        <v>310</v>
      </c>
      <c r="N13" s="14" t="s">
        <v>311</v>
      </c>
      <c r="O13" s="16"/>
      <c r="P13" s="16"/>
      <c r="Q13" s="20" t="s">
        <v>94</v>
      </c>
    </row>
    <row r="14" ht="27.0" customHeight="1">
      <c r="A14" s="14" t="s">
        <v>125</v>
      </c>
      <c r="B14" s="14" t="s">
        <v>20</v>
      </c>
      <c r="C14" s="14" t="str">
        <f>IF(B14="A",EQUIPE!$B$5,IF(B14="B",EQUIPE!$B$6,IF(B14="C",EQUIPE!$B$7,IF(B14="A+B",EQUIPE!$B$5&amp;" + "&amp;EQUIPE!$B$6,IF(B14="A+C",EQUIPE!$B$5&amp;" + "&amp;EQUIPE!$B$7,"Trio")))))</f>
        <v>Victor André</v>
      </c>
      <c r="D14" s="14" t="s">
        <v>85</v>
      </c>
      <c r="E14" s="14" t="s">
        <v>313</v>
      </c>
      <c r="F14" s="17">
        <v>46317.0</v>
      </c>
      <c r="G14" s="14" t="s">
        <v>84</v>
      </c>
      <c r="H14" s="14" t="str">
        <f>IF(COUNTIF(DEPENDENCIAS!$A$5:$A$72,A14)=0,"OK",IF(COUNTIFS(DEPENDENCIAS!$A$5:$A$72,A14,DEPENDENCIAS!$D$5:$D$72,"PENDENTE")=0,"OK","AGUARDAR"))</f>
        <v>AGUARDAR</v>
      </c>
      <c r="I14" s="16" t="s">
        <v>83</v>
      </c>
      <c r="J14" s="18" t="s">
        <v>89</v>
      </c>
      <c r="K14" s="19"/>
      <c r="L14" s="14" t="s">
        <v>319</v>
      </c>
      <c r="M14" s="14" t="s">
        <v>322</v>
      </c>
      <c r="N14" s="14" t="s">
        <v>323</v>
      </c>
      <c r="O14" s="16"/>
      <c r="P14" s="16"/>
      <c r="Q14" s="20" t="s">
        <v>94</v>
      </c>
    </row>
    <row r="15" ht="27.0" customHeight="1">
      <c r="A15" s="14" t="s">
        <v>129</v>
      </c>
      <c r="B15" s="14" t="s">
        <v>20</v>
      </c>
      <c r="C15" s="14" t="str">
        <f>IF(B15="A",EQUIPE!$B$5,IF(B15="B",EQUIPE!$B$6,IF(B15="C",EQUIPE!$B$7,IF(B15="A+B",EQUIPE!$B$5&amp;" + "&amp;EQUIPE!$B$6,IF(B15="A+C",EQUIPE!$B$5&amp;" + "&amp;EQUIPE!$B$7,"Trio")))))</f>
        <v>Victor André</v>
      </c>
      <c r="D15" s="14" t="s">
        <v>85</v>
      </c>
      <c r="E15" s="14" t="s">
        <v>335</v>
      </c>
      <c r="F15" s="17">
        <v>46324.0</v>
      </c>
      <c r="G15" s="14" t="s">
        <v>125</v>
      </c>
      <c r="H15" s="14" t="str">
        <f>IF(COUNTIF(DEPENDENCIAS!$A$5:$A$72,A15)=0,"OK",IF(COUNTIFS(DEPENDENCIAS!$A$5:$A$72,A15,DEPENDENCIAS!$D$5:$D$72,"PENDENTE")=0,"OK","AGUARDAR"))</f>
        <v>AGUARDAR</v>
      </c>
      <c r="I15" s="16" t="s">
        <v>83</v>
      </c>
      <c r="J15" s="18" t="s">
        <v>89</v>
      </c>
      <c r="K15" s="19"/>
      <c r="L15" s="14" t="s">
        <v>351</v>
      </c>
      <c r="M15" s="14" t="s">
        <v>352</v>
      </c>
      <c r="N15" s="14" t="s">
        <v>353</v>
      </c>
      <c r="O15" s="16"/>
      <c r="P15" s="16"/>
      <c r="Q15" s="20" t="s">
        <v>305</v>
      </c>
    </row>
    <row r="16" ht="27.0" customHeight="1">
      <c r="A16" s="14" t="s">
        <v>143</v>
      </c>
      <c r="B16" s="14" t="s">
        <v>20</v>
      </c>
      <c r="C16" s="14" t="str">
        <f>IF(B16="A",EQUIPE!$B$5,IF(B16="B",EQUIPE!$B$6,IF(B16="C",EQUIPE!$B$7,IF(B16="A+B",EQUIPE!$B$5&amp;" + "&amp;EQUIPE!$B$6,IF(B16="A+C",EQUIPE!$B$5&amp;" + "&amp;EQUIPE!$B$7,"Trio")))))</f>
        <v>Victor André</v>
      </c>
      <c r="D16" s="14" t="s">
        <v>85</v>
      </c>
      <c r="E16" s="14" t="s">
        <v>355</v>
      </c>
      <c r="F16" s="17">
        <v>46329.0</v>
      </c>
      <c r="G16" s="14" t="s">
        <v>361</v>
      </c>
      <c r="H16" s="14" t="str">
        <f>IF(COUNTIF(DEPENDENCIAS!$A$5:$A$72,A16)=0,"OK",IF(COUNTIFS(DEPENDENCIAS!$A$5:$A$72,A16,DEPENDENCIAS!$D$5:$D$72,"PENDENTE")=0,"OK","AGUARDAR"))</f>
        <v>AGUARDAR</v>
      </c>
      <c r="I16" s="16" t="s">
        <v>83</v>
      </c>
      <c r="J16" s="18" t="s">
        <v>89</v>
      </c>
      <c r="K16" s="19"/>
      <c r="L16" s="14" t="s">
        <v>404</v>
      </c>
      <c r="M16" s="14" t="s">
        <v>406</v>
      </c>
      <c r="N16" s="14" t="s">
        <v>407</v>
      </c>
      <c r="O16" s="16"/>
      <c r="P16" s="16"/>
      <c r="Q16" s="20" t="s">
        <v>409</v>
      </c>
    </row>
    <row r="17" ht="27.0" customHeight="1">
      <c r="A17" s="14" t="s">
        <v>175</v>
      </c>
      <c r="B17" s="14" t="s">
        <v>20</v>
      </c>
      <c r="C17" s="14" t="str">
        <f>IF(B17="A",EQUIPE!$B$5,IF(B17="B",EQUIPE!$B$6,IF(B17="C",EQUIPE!$B$7,IF(B17="A+B",EQUIPE!$B$5&amp;" + "&amp;EQUIPE!$B$6,IF(B17="A+C",EQUIPE!$B$5&amp;" + "&amp;EQUIPE!$B$7,"Trio")))))</f>
        <v>Victor André</v>
      </c>
      <c r="D17" s="14" t="s">
        <v>85</v>
      </c>
      <c r="E17" s="14" t="s">
        <v>410</v>
      </c>
      <c r="F17" s="17">
        <v>46324.0</v>
      </c>
      <c r="G17" s="14" t="s">
        <v>411</v>
      </c>
      <c r="H17" s="14" t="str">
        <f>IF(COUNTIF(DEPENDENCIAS!$A$5:$A$72,A17)=0,"OK",IF(COUNTIFS(DEPENDENCIAS!$A$5:$A$72,A17,DEPENDENCIAS!$D$5:$D$72,"PENDENTE")=0,"OK","AGUARDAR"))</f>
        <v>AGUARDAR</v>
      </c>
      <c r="I17" s="16" t="s">
        <v>83</v>
      </c>
      <c r="J17" s="18" t="s">
        <v>89</v>
      </c>
      <c r="K17" s="19"/>
      <c r="L17" s="14" t="s">
        <v>416</v>
      </c>
      <c r="M17" s="14" t="s">
        <v>417</v>
      </c>
      <c r="N17" s="14" t="s">
        <v>418</v>
      </c>
      <c r="O17" s="16"/>
      <c r="P17" s="16"/>
      <c r="Q17" s="20" t="s">
        <v>305</v>
      </c>
    </row>
    <row r="18" ht="27.0" customHeight="1">
      <c r="A18" s="14" t="s">
        <v>186</v>
      </c>
      <c r="B18" s="14" t="s">
        <v>20</v>
      </c>
      <c r="C18" s="14" t="str">
        <f>IF(B18="A",EQUIPE!$B$5,IF(B18="B",EQUIPE!$B$6,IF(B18="C",EQUIPE!$B$7,IF(B18="A+B",EQUIPE!$B$5&amp;" + "&amp;EQUIPE!$B$6,IF(B18="A+C",EQUIPE!$B$5&amp;" + "&amp;EQUIPE!$B$7,"Trio")))))</f>
        <v>Victor André</v>
      </c>
      <c r="D18" s="14" t="s">
        <v>85</v>
      </c>
      <c r="E18" s="14" t="s">
        <v>420</v>
      </c>
      <c r="F18" s="17">
        <v>46324.0</v>
      </c>
      <c r="G18" s="14" t="s">
        <v>421</v>
      </c>
      <c r="H18" s="14" t="str">
        <f>IF(COUNTIF(DEPENDENCIAS!$A$5:$A$72,A18)=0,"OK",IF(COUNTIFS(DEPENDENCIAS!$A$5:$A$72,A18,DEPENDENCIAS!$D$5:$D$72,"PENDENTE")=0,"OK","AGUARDAR"))</f>
        <v>AGUARDAR</v>
      </c>
      <c r="I18" s="16" t="s">
        <v>83</v>
      </c>
      <c r="J18" s="18" t="s">
        <v>89</v>
      </c>
      <c r="K18" s="19"/>
      <c r="L18" s="14" t="s">
        <v>423</v>
      </c>
      <c r="M18" s="14" t="s">
        <v>424</v>
      </c>
      <c r="N18" s="14" t="s">
        <v>426</v>
      </c>
      <c r="O18" s="16"/>
      <c r="P18" s="16"/>
      <c r="Q18" s="20" t="s">
        <v>305</v>
      </c>
    </row>
    <row r="19" ht="27.0" customHeight="1">
      <c r="A19" s="14" t="s">
        <v>189</v>
      </c>
      <c r="B19" s="14" t="s">
        <v>20</v>
      </c>
      <c r="C19" s="14" t="str">
        <f>IF(B19="A",EQUIPE!$B$5,IF(B19="B",EQUIPE!$B$6,IF(B19="C",EQUIPE!$B$7,IF(B19="A+B",EQUIPE!$B$5&amp;" + "&amp;EQUIPE!$B$6,IF(B19="A+C",EQUIPE!$B$5&amp;" + "&amp;EQUIPE!$B$7,"Trio")))))</f>
        <v>Victor André</v>
      </c>
      <c r="D19" s="14" t="s">
        <v>85</v>
      </c>
      <c r="E19" s="14" t="s">
        <v>428</v>
      </c>
      <c r="F19" s="17">
        <v>46329.0</v>
      </c>
      <c r="G19" s="14" t="s">
        <v>429</v>
      </c>
      <c r="H19" s="14" t="str">
        <f>IF(COUNTIF(DEPENDENCIAS!$A$5:$A$72,A19)=0,"OK",IF(COUNTIFS(DEPENDENCIAS!$A$5:$A$72,A19,DEPENDENCIAS!$D$5:$D$72,"PENDENTE")=0,"OK","AGUARDAR"))</f>
        <v>AGUARDAR</v>
      </c>
      <c r="I19" s="16" t="s">
        <v>83</v>
      </c>
      <c r="J19" s="18" t="s">
        <v>89</v>
      </c>
      <c r="K19" s="19"/>
      <c r="L19" s="14" t="s">
        <v>432</v>
      </c>
      <c r="M19" s="14" t="s">
        <v>433</v>
      </c>
      <c r="N19" s="14" t="s">
        <v>434</v>
      </c>
      <c r="O19" s="16"/>
      <c r="P19" s="16"/>
      <c r="Q19" s="20" t="s">
        <v>409</v>
      </c>
    </row>
    <row r="20" ht="27.0" customHeight="1">
      <c r="A20" s="14" t="s">
        <v>194</v>
      </c>
      <c r="B20" s="14" t="s">
        <v>36</v>
      </c>
      <c r="C20" s="14" t="str">
        <f>IF(B20="A",EQUIPE!$B$5,IF(B20="B",EQUIPE!$B$6,IF(B20="C",EQUIPE!$B$7,IF(B20="A+B",EQUIPE!$B$5&amp;" + "&amp;EQUIPE!$B$6,IF(B20="A+C",EQUIPE!$B$5&amp;" + "&amp;EQUIPE!$B$7,"Trio")))))</f>
        <v>Erasmo</v>
      </c>
      <c r="D20" s="14" t="s">
        <v>85</v>
      </c>
      <c r="E20" s="14" t="s">
        <v>435</v>
      </c>
      <c r="F20" s="17">
        <v>46329.0</v>
      </c>
      <c r="G20" s="14" t="s">
        <v>436</v>
      </c>
      <c r="H20" s="14" t="str">
        <f>IF(COUNTIF(DEPENDENCIAS!$A$5:$A$72,A20)=0,"OK",IF(COUNTIFS(DEPENDENCIAS!$A$5:$A$72,A20,DEPENDENCIAS!$D$5:$D$72,"PENDENTE")=0,"OK","AGUARDAR"))</f>
        <v>AGUARDAR</v>
      </c>
      <c r="I20" s="16" t="s">
        <v>83</v>
      </c>
      <c r="J20" s="18" t="s">
        <v>89</v>
      </c>
      <c r="K20" s="19"/>
      <c r="L20" s="14" t="s">
        <v>438</v>
      </c>
      <c r="M20" s="14" t="s">
        <v>439</v>
      </c>
      <c r="N20" s="14" t="s">
        <v>224</v>
      </c>
      <c r="O20" s="16"/>
      <c r="P20" s="16"/>
      <c r="Q20" s="20" t="s">
        <v>409</v>
      </c>
    </row>
    <row r="21" ht="27.0" customHeight="1">
      <c r="A21" s="14" t="s">
        <v>275</v>
      </c>
      <c r="B21" s="14" t="s">
        <v>29</v>
      </c>
      <c r="C21" s="14" t="str">
        <f>IF(B21="A",EQUIPE!$B$5,IF(B21="B",EQUIPE!$B$6,IF(B21="C",EQUIPE!$B$7,IF(B21="A+B",EQUIPE!$B$5&amp;" + "&amp;EQUIPE!$B$6,IF(B21="A+C",EQUIPE!$B$5&amp;" + "&amp;EQUIPE!$B$7,"Trio")))))</f>
        <v>Riquelme</v>
      </c>
      <c r="D21" s="14" t="s">
        <v>440</v>
      </c>
      <c r="E21" s="14" t="s">
        <v>441</v>
      </c>
      <c r="F21" s="17">
        <v>46317.0</v>
      </c>
      <c r="G21" s="14" t="s">
        <v>88</v>
      </c>
      <c r="H21" s="14" t="str">
        <f>IF(COUNTIF(DEPENDENCIAS!$A$5:$A$72,A21)=0,"OK",IF(COUNTIFS(DEPENDENCIAS!$A$5:$A$72,A21,DEPENDENCIAS!$D$5:$D$72,"PENDENTE")=0,"OK","AGUARDAR"))</f>
        <v>AGUARDAR</v>
      </c>
      <c r="I21" s="16" t="s">
        <v>83</v>
      </c>
      <c r="J21" s="18" t="s">
        <v>89</v>
      </c>
      <c r="K21" s="19"/>
      <c r="L21" s="14" t="s">
        <v>442</v>
      </c>
      <c r="M21" s="14" t="s">
        <v>443</v>
      </c>
      <c r="N21" s="14" t="s">
        <v>444</v>
      </c>
      <c r="O21" s="16"/>
      <c r="P21" s="16"/>
      <c r="Q21" s="20" t="s">
        <v>94</v>
      </c>
    </row>
    <row r="22" ht="27.0" customHeight="1">
      <c r="A22" s="14" t="s">
        <v>303</v>
      </c>
      <c r="B22" s="14" t="s">
        <v>29</v>
      </c>
      <c r="C22" s="14" t="str">
        <f>IF(B22="A",EQUIPE!$B$5,IF(B22="B",EQUIPE!$B$6,IF(B22="C",EQUIPE!$B$7,IF(B22="A+B",EQUIPE!$B$5&amp;" + "&amp;EQUIPE!$B$6,IF(B22="A+C",EQUIPE!$B$5&amp;" + "&amp;EQUIPE!$B$7,"Trio")))))</f>
        <v>Riquelme</v>
      </c>
      <c r="D22" s="14" t="s">
        <v>85</v>
      </c>
      <c r="E22" s="14" t="s">
        <v>446</v>
      </c>
      <c r="F22" s="17">
        <v>46317.0</v>
      </c>
      <c r="G22" s="14" t="s">
        <v>275</v>
      </c>
      <c r="H22" s="14" t="str">
        <f>IF(COUNTIF(DEPENDENCIAS!$A$5:$A$72,A22)=0,"OK",IF(COUNTIFS(DEPENDENCIAS!$A$5:$A$72,A22,DEPENDENCIAS!$D$5:$D$72,"PENDENTE")=0,"OK","AGUARDAR"))</f>
        <v>AGUARDAR</v>
      </c>
      <c r="I22" s="16" t="s">
        <v>83</v>
      </c>
      <c r="J22" s="18" t="s">
        <v>89</v>
      </c>
      <c r="K22" s="19"/>
      <c r="L22" s="14" t="s">
        <v>448</v>
      </c>
      <c r="M22" s="14" t="s">
        <v>449</v>
      </c>
      <c r="N22" s="14" t="s">
        <v>444</v>
      </c>
      <c r="O22" s="16"/>
      <c r="P22" s="16"/>
      <c r="Q22" s="20" t="s">
        <v>94</v>
      </c>
    </row>
    <row r="23" ht="27.0" customHeight="1">
      <c r="A23" s="14" t="s">
        <v>306</v>
      </c>
      <c r="B23" s="14" t="s">
        <v>29</v>
      </c>
      <c r="C23" s="14" t="str">
        <f>IF(B23="A",EQUIPE!$B$5,IF(B23="B",EQUIPE!$B$6,IF(B23="C",EQUIPE!$B$7,IF(B23="A+B",EQUIPE!$B$5&amp;" + "&amp;EQUIPE!$B$6,IF(B23="A+C",EQUIPE!$B$5&amp;" + "&amp;EQUIPE!$B$7,"Trio")))))</f>
        <v>Riquelme</v>
      </c>
      <c r="D23" s="14" t="s">
        <v>85</v>
      </c>
      <c r="E23" s="14" t="s">
        <v>451</v>
      </c>
      <c r="F23" s="17">
        <v>46324.0</v>
      </c>
      <c r="G23" s="14" t="s">
        <v>452</v>
      </c>
      <c r="H23" s="14" t="str">
        <f>IF(COUNTIF(DEPENDENCIAS!$A$5:$A$72,A23)=0,"OK",IF(COUNTIFS(DEPENDENCIAS!$A$5:$A$72,A23,DEPENDENCIAS!$D$5:$D$72,"PENDENTE")=0,"OK","AGUARDAR"))</f>
        <v>AGUARDAR</v>
      </c>
      <c r="I23" s="16" t="s">
        <v>83</v>
      </c>
      <c r="J23" s="18" t="s">
        <v>89</v>
      </c>
      <c r="K23" s="19"/>
      <c r="L23" s="14" t="s">
        <v>454</v>
      </c>
      <c r="M23" s="14" t="s">
        <v>455</v>
      </c>
      <c r="N23" s="14" t="s">
        <v>444</v>
      </c>
      <c r="O23" s="16"/>
      <c r="P23" s="16"/>
      <c r="Q23" s="20" t="s">
        <v>305</v>
      </c>
    </row>
    <row r="24" ht="27.0" customHeight="1">
      <c r="A24" s="14" t="s">
        <v>312</v>
      </c>
      <c r="B24" s="14" t="s">
        <v>29</v>
      </c>
      <c r="C24" s="14" t="str">
        <f>IF(B24="A",EQUIPE!$B$5,IF(B24="B",EQUIPE!$B$6,IF(B24="C",EQUIPE!$B$7,IF(B24="A+B",EQUIPE!$B$5&amp;" + "&amp;EQUIPE!$B$6,IF(B24="A+C",EQUIPE!$B$5&amp;" + "&amp;EQUIPE!$B$7,"Trio")))))</f>
        <v>Riquelme</v>
      </c>
      <c r="D24" s="14" t="s">
        <v>85</v>
      </c>
      <c r="E24" s="14" t="s">
        <v>456</v>
      </c>
      <c r="F24" s="17">
        <v>46324.0</v>
      </c>
      <c r="G24" s="14" t="s">
        <v>306</v>
      </c>
      <c r="H24" s="14" t="str">
        <f>IF(COUNTIF(DEPENDENCIAS!$A$5:$A$72,A24)=0,"OK",IF(COUNTIFS(DEPENDENCIAS!$A$5:$A$72,A24,DEPENDENCIAS!$D$5:$D$72,"PENDENTE")=0,"OK","AGUARDAR"))</f>
        <v>AGUARDAR</v>
      </c>
      <c r="I24" s="16" t="s">
        <v>83</v>
      </c>
      <c r="J24" s="18" t="s">
        <v>89</v>
      </c>
      <c r="K24" s="19"/>
      <c r="L24" s="14" t="s">
        <v>457</v>
      </c>
      <c r="M24" s="14" t="s">
        <v>458</v>
      </c>
      <c r="N24" s="14" t="s">
        <v>444</v>
      </c>
      <c r="O24" s="16"/>
      <c r="P24" s="16"/>
      <c r="Q24" s="20" t="s">
        <v>305</v>
      </c>
    </row>
    <row r="25" ht="27.0" customHeight="1">
      <c r="A25" s="14" t="s">
        <v>314</v>
      </c>
      <c r="B25" s="14" t="s">
        <v>29</v>
      </c>
      <c r="C25" s="14" t="str">
        <f>IF(B25="A",EQUIPE!$B$5,IF(B25="B",EQUIPE!$B$6,IF(B25="C",EQUIPE!$B$7,IF(B25="A+B",EQUIPE!$B$5&amp;" + "&amp;EQUIPE!$B$6,IF(B25="A+C",EQUIPE!$B$5&amp;" + "&amp;EQUIPE!$B$7,"Trio")))))</f>
        <v>Riquelme</v>
      </c>
      <c r="D25" s="14" t="s">
        <v>85</v>
      </c>
      <c r="E25" s="14" t="s">
        <v>459</v>
      </c>
      <c r="F25" s="17">
        <v>46317.0</v>
      </c>
      <c r="G25" s="14" t="s">
        <v>460</v>
      </c>
      <c r="H25" s="14" t="str">
        <f>IF(COUNTIF(DEPENDENCIAS!$A$5:$A$72,A25)=0,"OK",IF(COUNTIFS(DEPENDENCIAS!$A$5:$A$72,A25,DEPENDENCIAS!$D$5:$D$72,"PENDENTE")=0,"OK","AGUARDAR"))</f>
        <v>AGUARDAR</v>
      </c>
      <c r="I25" s="16" t="s">
        <v>83</v>
      </c>
      <c r="J25" s="18" t="s">
        <v>89</v>
      </c>
      <c r="K25" s="19"/>
      <c r="L25" s="14" t="s">
        <v>462</v>
      </c>
      <c r="M25" s="14" t="s">
        <v>463</v>
      </c>
      <c r="N25" s="14" t="s">
        <v>464</v>
      </c>
      <c r="O25" s="16"/>
      <c r="P25" s="16"/>
      <c r="Q25" s="20" t="s">
        <v>94</v>
      </c>
    </row>
    <row r="26" ht="27.0" customHeight="1">
      <c r="A26" s="14" t="s">
        <v>326</v>
      </c>
      <c r="B26" s="14" t="s">
        <v>29</v>
      </c>
      <c r="C26" s="14" t="str">
        <f>IF(B26="A",EQUIPE!$B$5,IF(B26="B",EQUIPE!$B$6,IF(B26="C",EQUIPE!$B$7,IF(B26="A+B",EQUIPE!$B$5&amp;" + "&amp;EQUIPE!$B$6,IF(B26="A+C",EQUIPE!$B$5&amp;" + "&amp;EQUIPE!$B$7,"Trio")))))</f>
        <v>Riquelme</v>
      </c>
      <c r="D26" s="14" t="s">
        <v>85</v>
      </c>
      <c r="E26" s="14" t="s">
        <v>467</v>
      </c>
      <c r="F26" s="17">
        <v>46324.0</v>
      </c>
      <c r="G26" s="14" t="s">
        <v>314</v>
      </c>
      <c r="H26" s="14" t="str">
        <f>IF(COUNTIF(DEPENDENCIAS!$A$5:$A$72,A26)=0,"OK",IF(COUNTIFS(DEPENDENCIAS!$A$5:$A$72,A26,DEPENDENCIAS!$D$5:$D$72,"PENDENTE")=0,"OK","AGUARDAR"))</f>
        <v>AGUARDAR</v>
      </c>
      <c r="I26" s="16" t="s">
        <v>83</v>
      </c>
      <c r="J26" s="18" t="s">
        <v>89</v>
      </c>
      <c r="K26" s="19"/>
      <c r="L26" s="14" t="s">
        <v>469</v>
      </c>
      <c r="M26" s="14" t="s">
        <v>470</v>
      </c>
      <c r="N26" s="14" t="s">
        <v>464</v>
      </c>
      <c r="O26" s="16"/>
      <c r="P26" s="16"/>
      <c r="Q26" s="20" t="s">
        <v>305</v>
      </c>
    </row>
    <row r="27" ht="27.0" customHeight="1">
      <c r="A27" s="14" t="s">
        <v>336</v>
      </c>
      <c r="B27" s="14" t="s">
        <v>29</v>
      </c>
      <c r="C27" s="14" t="str">
        <f>IF(B27="A",EQUIPE!$B$5,IF(B27="B",EQUIPE!$B$6,IF(B27="C",EQUIPE!$B$7,IF(B27="A+B",EQUIPE!$B$5&amp;" + "&amp;EQUIPE!$B$6,IF(B27="A+C",EQUIPE!$B$5&amp;" + "&amp;EQUIPE!$B$7,"Trio")))))</f>
        <v>Riquelme</v>
      </c>
      <c r="D27" s="14" t="s">
        <v>85</v>
      </c>
      <c r="E27" s="14" t="s">
        <v>471</v>
      </c>
      <c r="F27" s="17">
        <v>46324.0</v>
      </c>
      <c r="G27" s="14" t="s">
        <v>326</v>
      </c>
      <c r="H27" s="14" t="str">
        <f>IF(COUNTIF(DEPENDENCIAS!$A$5:$A$72,A27)=0,"OK",IF(COUNTIFS(DEPENDENCIAS!$A$5:$A$72,A27,DEPENDENCIAS!$D$5:$D$72,"PENDENTE")=0,"OK","AGUARDAR"))</f>
        <v>AGUARDAR</v>
      </c>
      <c r="I27" s="16" t="s">
        <v>83</v>
      </c>
      <c r="J27" s="18" t="s">
        <v>89</v>
      </c>
      <c r="K27" s="19"/>
      <c r="L27" s="14" t="s">
        <v>472</v>
      </c>
      <c r="M27" s="14" t="s">
        <v>473</v>
      </c>
      <c r="N27" s="14" t="s">
        <v>474</v>
      </c>
      <c r="O27" s="16"/>
      <c r="P27" s="16"/>
      <c r="Q27" s="20" t="s">
        <v>305</v>
      </c>
    </row>
    <row r="28" ht="27.0" customHeight="1">
      <c r="A28" s="14" t="s">
        <v>350</v>
      </c>
      <c r="B28" s="14" t="s">
        <v>29</v>
      </c>
      <c r="C28" s="14" t="str">
        <f>IF(B28="A",EQUIPE!$B$5,IF(B28="B",EQUIPE!$B$6,IF(B28="C",EQUIPE!$B$7,IF(B28="A+B",EQUIPE!$B$5&amp;" + "&amp;EQUIPE!$B$6,IF(B28="A+C",EQUIPE!$B$5&amp;" + "&amp;EQUIPE!$B$7,"Trio")))))</f>
        <v>Riquelme</v>
      </c>
      <c r="D28" s="14" t="s">
        <v>85</v>
      </c>
      <c r="E28" s="14" t="s">
        <v>475</v>
      </c>
      <c r="F28" s="17">
        <v>46329.0</v>
      </c>
      <c r="G28" s="14" t="s">
        <v>476</v>
      </c>
      <c r="H28" s="14" t="str">
        <f>IF(COUNTIF(DEPENDENCIAS!$A$5:$A$72,A28)=0,"OK",IF(COUNTIFS(DEPENDENCIAS!$A$5:$A$72,A28,DEPENDENCIAS!$D$5:$D$72,"PENDENTE")=0,"OK","AGUARDAR"))</f>
        <v>AGUARDAR</v>
      </c>
      <c r="I28" s="16" t="s">
        <v>83</v>
      </c>
      <c r="J28" s="18" t="s">
        <v>89</v>
      </c>
      <c r="K28" s="19"/>
      <c r="L28" s="14" t="s">
        <v>477</v>
      </c>
      <c r="M28" s="14" t="s">
        <v>478</v>
      </c>
      <c r="N28" s="14" t="s">
        <v>479</v>
      </c>
      <c r="O28" s="16"/>
      <c r="P28" s="16"/>
      <c r="Q28" s="20" t="s">
        <v>409</v>
      </c>
    </row>
    <row r="29" ht="27.0" customHeight="1">
      <c r="A29" s="14" t="s">
        <v>181</v>
      </c>
      <c r="B29" s="14" t="s">
        <v>36</v>
      </c>
      <c r="C29" s="14" t="str">
        <f>IF(B29="A",EQUIPE!$B$5,IF(B29="B",EQUIPE!$B$6,IF(B29="C",EQUIPE!$B$7,IF(B29="A+B",EQUIPE!$B$5&amp;" + "&amp;EQUIPE!$B$6,IF(B29="A+C",EQUIPE!$B$5&amp;" + "&amp;EQUIPE!$B$7,"Trio")))))</f>
        <v>Erasmo</v>
      </c>
      <c r="D29" s="14" t="s">
        <v>85</v>
      </c>
      <c r="E29" s="14" t="s">
        <v>480</v>
      </c>
      <c r="F29" s="17">
        <v>46317.0</v>
      </c>
      <c r="G29" s="14" t="s">
        <v>84</v>
      </c>
      <c r="H29" s="14" t="str">
        <f>IF(COUNTIF(DEPENDENCIAS!$A$5:$A$72,A29)=0,"OK",IF(COUNTIFS(DEPENDENCIAS!$A$5:$A$72,A29,DEPENDENCIAS!$D$5:$D$72,"PENDENTE")=0,"OK","AGUARDAR"))</f>
        <v>AGUARDAR</v>
      </c>
      <c r="I29" s="16" t="s">
        <v>83</v>
      </c>
      <c r="J29" s="18" t="s">
        <v>89</v>
      </c>
      <c r="K29" s="19"/>
      <c r="L29" s="14" t="s">
        <v>481</v>
      </c>
      <c r="M29" s="14" t="s">
        <v>482</v>
      </c>
      <c r="N29" s="14" t="s">
        <v>483</v>
      </c>
      <c r="O29" s="16"/>
      <c r="P29" s="16"/>
      <c r="Q29" s="20" t="s">
        <v>94</v>
      </c>
    </row>
    <row r="30" ht="27.0" customHeight="1">
      <c r="A30" s="14" t="s">
        <v>183</v>
      </c>
      <c r="B30" s="14" t="s">
        <v>36</v>
      </c>
      <c r="C30" s="14" t="str">
        <f>IF(B30="A",EQUIPE!$B$5,IF(B30="B",EQUIPE!$B$6,IF(B30="C",EQUIPE!$B$7,IF(B30="A+B",EQUIPE!$B$5&amp;" + "&amp;EQUIPE!$B$6,IF(B30="A+C",EQUIPE!$B$5&amp;" + "&amp;EQUIPE!$B$7,"Trio")))))</f>
        <v>Erasmo</v>
      </c>
      <c r="D30" s="14" t="s">
        <v>85</v>
      </c>
      <c r="E30" s="14" t="s">
        <v>484</v>
      </c>
      <c r="F30" s="17">
        <v>46317.0</v>
      </c>
      <c r="G30" s="14" t="s">
        <v>84</v>
      </c>
      <c r="H30" s="14" t="str">
        <f>IF(COUNTIF(DEPENDENCIAS!$A$5:$A$72,A30)=0,"OK",IF(COUNTIFS(DEPENDENCIAS!$A$5:$A$72,A30,DEPENDENCIAS!$D$5:$D$72,"PENDENTE")=0,"OK","AGUARDAR"))</f>
        <v>AGUARDAR</v>
      </c>
      <c r="I30" s="16" t="s">
        <v>83</v>
      </c>
      <c r="J30" s="18" t="s">
        <v>89</v>
      </c>
      <c r="K30" s="19"/>
      <c r="L30" s="14" t="s">
        <v>485</v>
      </c>
      <c r="M30" s="14" t="s">
        <v>486</v>
      </c>
      <c r="N30" s="14" t="s">
        <v>483</v>
      </c>
      <c r="O30" s="16"/>
      <c r="P30" s="16"/>
      <c r="Q30" s="20" t="s">
        <v>94</v>
      </c>
    </row>
    <row r="31" ht="27.0" customHeight="1">
      <c r="A31" s="14" t="s">
        <v>408</v>
      </c>
      <c r="B31" s="14" t="s">
        <v>36</v>
      </c>
      <c r="C31" s="14" t="str">
        <f>IF(B31="A",EQUIPE!$B$5,IF(B31="B",EQUIPE!$B$6,IF(B31="C",EQUIPE!$B$7,IF(B31="A+B",EQUIPE!$B$5&amp;" + "&amp;EQUIPE!$B$6,IF(B31="A+C",EQUIPE!$B$5&amp;" + "&amp;EQUIPE!$B$7,"Trio")))))</f>
        <v>Erasmo</v>
      </c>
      <c r="D31" s="14" t="s">
        <v>85</v>
      </c>
      <c r="E31" s="14" t="s">
        <v>487</v>
      </c>
      <c r="F31" s="17">
        <v>46317.0</v>
      </c>
      <c r="G31" s="14" t="s">
        <v>488</v>
      </c>
      <c r="H31" s="14" t="str">
        <f>IF(COUNTIF(DEPENDENCIAS!$A$5:$A$72,A31)=0,"OK",IF(COUNTIFS(DEPENDENCIAS!$A$5:$A$72,A31,DEPENDENCIAS!$D$5:$D$72,"PENDENTE")=0,"OK","AGUARDAR"))</f>
        <v>AGUARDAR</v>
      </c>
      <c r="I31" s="16" t="s">
        <v>83</v>
      </c>
      <c r="J31" s="18" t="s">
        <v>89</v>
      </c>
      <c r="K31" s="19"/>
      <c r="L31" s="14" t="s">
        <v>489</v>
      </c>
      <c r="M31" s="14" t="s">
        <v>490</v>
      </c>
      <c r="N31" s="14" t="s">
        <v>491</v>
      </c>
      <c r="O31" s="16"/>
      <c r="P31" s="16"/>
      <c r="Q31" s="20" t="s">
        <v>94</v>
      </c>
    </row>
    <row r="32" ht="27.0" customHeight="1">
      <c r="A32" s="14" t="s">
        <v>412</v>
      </c>
      <c r="B32" s="14" t="s">
        <v>36</v>
      </c>
      <c r="C32" s="14" t="str">
        <f>IF(B32="A",EQUIPE!$B$5,IF(B32="B",EQUIPE!$B$6,IF(B32="C",EQUIPE!$B$7,IF(B32="A+B",EQUIPE!$B$5&amp;" + "&amp;EQUIPE!$B$6,IF(B32="A+C",EQUIPE!$B$5&amp;" + "&amp;EQUIPE!$B$7,"Trio")))))</f>
        <v>Erasmo</v>
      </c>
      <c r="D32" s="14" t="s">
        <v>85</v>
      </c>
      <c r="E32" s="14" t="s">
        <v>492</v>
      </c>
      <c r="F32" s="17">
        <v>46324.0</v>
      </c>
      <c r="G32" s="14" t="s">
        <v>493</v>
      </c>
      <c r="H32" s="14" t="str">
        <f>IF(COUNTIF(DEPENDENCIAS!$A$5:$A$72,A32)=0,"OK",IF(COUNTIFS(DEPENDENCIAS!$A$5:$A$72,A32,DEPENDENCIAS!$D$5:$D$72,"PENDENTE")=0,"OK","AGUARDAR"))</f>
        <v>AGUARDAR</v>
      </c>
      <c r="I32" s="16" t="s">
        <v>83</v>
      </c>
      <c r="J32" s="18" t="s">
        <v>89</v>
      </c>
      <c r="K32" s="19"/>
      <c r="L32" s="14" t="s">
        <v>494</v>
      </c>
      <c r="M32" s="14" t="s">
        <v>495</v>
      </c>
      <c r="N32" s="14" t="s">
        <v>496</v>
      </c>
      <c r="O32" s="16"/>
      <c r="P32" s="16"/>
      <c r="Q32" s="20" t="s">
        <v>305</v>
      </c>
    </row>
    <row r="33" ht="27.0" customHeight="1">
      <c r="A33" s="14" t="s">
        <v>419</v>
      </c>
      <c r="B33" s="14" t="s">
        <v>36</v>
      </c>
      <c r="C33" s="14" t="str">
        <f>IF(B33="A",EQUIPE!$B$5,IF(B33="B",EQUIPE!$B$6,IF(B33="C",EQUIPE!$B$7,IF(B33="A+B",EQUIPE!$B$5&amp;" + "&amp;EQUIPE!$B$6,IF(B33="A+C",EQUIPE!$B$5&amp;" + "&amp;EQUIPE!$B$7,"Trio")))))</f>
        <v>Erasmo</v>
      </c>
      <c r="D33" s="14" t="s">
        <v>85</v>
      </c>
      <c r="E33" s="14" t="s">
        <v>497</v>
      </c>
      <c r="F33" s="17">
        <v>46324.0</v>
      </c>
      <c r="G33" s="14" t="s">
        <v>498</v>
      </c>
      <c r="H33" s="14" t="str">
        <f>IF(COUNTIF(DEPENDENCIAS!$A$5:$A$72,A33)=0,"OK",IF(COUNTIFS(DEPENDENCIAS!$A$5:$A$72,A33,DEPENDENCIAS!$D$5:$D$72,"PENDENTE")=0,"OK","AGUARDAR"))</f>
        <v>AGUARDAR</v>
      </c>
      <c r="I33" s="16" t="s">
        <v>83</v>
      </c>
      <c r="J33" s="18" t="s">
        <v>89</v>
      </c>
      <c r="K33" s="19"/>
      <c r="L33" s="14" t="s">
        <v>499</v>
      </c>
      <c r="M33" s="14" t="s">
        <v>500</v>
      </c>
      <c r="N33" s="14" t="s">
        <v>501</v>
      </c>
      <c r="O33" s="16"/>
      <c r="P33" s="16"/>
      <c r="Q33" s="20" t="s">
        <v>305</v>
      </c>
    </row>
    <row r="34" ht="27.0" customHeight="1">
      <c r="A34" s="14" t="s">
        <v>422</v>
      </c>
      <c r="B34" s="14" t="s">
        <v>36</v>
      </c>
      <c r="C34" s="14" t="str">
        <f>IF(B34="A",EQUIPE!$B$5,IF(B34="B",EQUIPE!$B$6,IF(B34="C",EQUIPE!$B$7,IF(B34="A+B",EQUIPE!$B$5&amp;" + "&amp;EQUIPE!$B$6,IF(B34="A+C",EQUIPE!$B$5&amp;" + "&amp;EQUIPE!$B$7,"Trio")))))</f>
        <v>Erasmo</v>
      </c>
      <c r="D34" s="14" t="s">
        <v>85</v>
      </c>
      <c r="E34" s="14" t="s">
        <v>502</v>
      </c>
      <c r="F34" s="17">
        <v>46324.0</v>
      </c>
      <c r="G34" s="14" t="s">
        <v>419</v>
      </c>
      <c r="H34" s="14" t="str">
        <f>IF(COUNTIF(DEPENDENCIAS!$A$5:$A$72,A34)=0,"OK",IF(COUNTIFS(DEPENDENCIAS!$A$5:$A$72,A34,DEPENDENCIAS!$D$5:$D$72,"PENDENTE")=0,"OK","AGUARDAR"))</f>
        <v>AGUARDAR</v>
      </c>
      <c r="I34" s="16" t="s">
        <v>83</v>
      </c>
      <c r="J34" s="18" t="s">
        <v>89</v>
      </c>
      <c r="K34" s="19"/>
      <c r="L34" s="14" t="s">
        <v>503</v>
      </c>
      <c r="M34" s="14" t="s">
        <v>504</v>
      </c>
      <c r="N34" s="14" t="s">
        <v>505</v>
      </c>
      <c r="O34" s="16"/>
      <c r="P34" s="16"/>
      <c r="Q34" s="20" t="s">
        <v>305</v>
      </c>
    </row>
    <row r="35" ht="27.0" customHeight="1">
      <c r="A35" s="14" t="s">
        <v>425</v>
      </c>
      <c r="B35" s="14" t="s">
        <v>36</v>
      </c>
      <c r="C35" s="14" t="str">
        <f>IF(B35="A",EQUIPE!$B$5,IF(B35="B",EQUIPE!$B$6,IF(B35="C",EQUIPE!$B$7,IF(B35="A+B",EQUIPE!$B$5&amp;" + "&amp;EQUIPE!$B$6,IF(B35="A+C",EQUIPE!$B$5&amp;" + "&amp;EQUIPE!$B$7,"Trio")))))</f>
        <v>Erasmo</v>
      </c>
      <c r="D35" s="14" t="s">
        <v>85</v>
      </c>
      <c r="E35" s="14" t="s">
        <v>506</v>
      </c>
      <c r="F35" s="17">
        <v>46324.0</v>
      </c>
      <c r="G35" s="14" t="s">
        <v>422</v>
      </c>
      <c r="H35" s="14" t="str">
        <f>IF(COUNTIF(DEPENDENCIAS!$A$5:$A$72,A35)=0,"OK",IF(COUNTIFS(DEPENDENCIAS!$A$5:$A$72,A35,DEPENDENCIAS!$D$5:$D$72,"PENDENTE")=0,"OK","AGUARDAR"))</f>
        <v>AGUARDAR</v>
      </c>
      <c r="I35" s="16" t="s">
        <v>83</v>
      </c>
      <c r="J35" s="18" t="s">
        <v>89</v>
      </c>
      <c r="K35" s="19"/>
      <c r="L35" s="14" t="s">
        <v>507</v>
      </c>
      <c r="M35" s="14" t="s">
        <v>508</v>
      </c>
      <c r="N35" s="14" t="s">
        <v>509</v>
      </c>
      <c r="O35" s="16"/>
      <c r="P35" s="16"/>
      <c r="Q35" s="20" t="s">
        <v>305</v>
      </c>
    </row>
    <row r="36" ht="27.0" customHeight="1">
      <c r="A36" s="14" t="s">
        <v>427</v>
      </c>
      <c r="B36" s="14" t="s">
        <v>36</v>
      </c>
      <c r="C36" s="14" t="str">
        <f>IF(B36="A",EQUIPE!$B$5,IF(B36="B",EQUIPE!$B$6,IF(B36="C",EQUIPE!$B$7,IF(B36="A+B",EQUIPE!$B$5&amp;" + "&amp;EQUIPE!$B$6,IF(B36="A+C",EQUIPE!$B$5&amp;" + "&amp;EQUIPE!$B$7,"Trio")))))</f>
        <v>Erasmo</v>
      </c>
      <c r="D36" s="14" t="s">
        <v>85</v>
      </c>
      <c r="E36" s="14" t="s">
        <v>510</v>
      </c>
      <c r="F36" s="17">
        <v>46329.0</v>
      </c>
      <c r="G36" s="14" t="s">
        <v>511</v>
      </c>
      <c r="H36" s="14" t="str">
        <f>IF(COUNTIF(DEPENDENCIAS!$A$5:$A$72,A36)=0,"OK",IF(COUNTIFS(DEPENDENCIAS!$A$5:$A$72,A36,DEPENDENCIAS!$D$5:$D$72,"PENDENTE")=0,"OK","AGUARDAR"))</f>
        <v>AGUARDAR</v>
      </c>
      <c r="I36" s="16" t="s">
        <v>83</v>
      </c>
      <c r="J36" s="18" t="s">
        <v>89</v>
      </c>
      <c r="K36" s="19"/>
      <c r="L36" s="14" t="s">
        <v>512</v>
      </c>
      <c r="M36" s="14" t="s">
        <v>513</v>
      </c>
      <c r="N36" s="14" t="s">
        <v>514</v>
      </c>
      <c r="O36" s="16"/>
      <c r="P36" s="16"/>
      <c r="Q36" s="20" t="s">
        <v>409</v>
      </c>
    </row>
    <row r="37" ht="27.0" customHeight="1">
      <c r="A37" s="14" t="s">
        <v>430</v>
      </c>
      <c r="B37" s="14" t="s">
        <v>36</v>
      </c>
      <c r="C37" s="14" t="str">
        <f>IF(B37="A",EQUIPE!$B$5,IF(B37="B",EQUIPE!$B$6,IF(B37="C",EQUIPE!$B$7,IF(B37="A+B",EQUIPE!$B$5&amp;" + "&amp;EQUIPE!$B$6,IF(B37="A+C",EQUIPE!$B$5&amp;" + "&amp;EQUIPE!$B$7,"Trio")))))</f>
        <v>Erasmo</v>
      </c>
      <c r="D37" s="14" t="s">
        <v>85</v>
      </c>
      <c r="E37" s="14" t="s">
        <v>515</v>
      </c>
      <c r="F37" s="17">
        <v>46329.0</v>
      </c>
      <c r="G37" s="14" t="s">
        <v>427</v>
      </c>
      <c r="H37" s="14" t="str">
        <f>IF(COUNTIF(DEPENDENCIAS!$A$5:$A$72,A37)=0,"OK",IF(COUNTIFS(DEPENDENCIAS!$A$5:$A$72,A37,DEPENDENCIAS!$D$5:$D$72,"PENDENTE")=0,"OK","AGUARDAR"))</f>
        <v>AGUARDAR</v>
      </c>
      <c r="I37" s="16" t="s">
        <v>83</v>
      </c>
      <c r="J37" s="18" t="s">
        <v>89</v>
      </c>
      <c r="K37" s="19"/>
      <c r="L37" s="14" t="s">
        <v>516</v>
      </c>
      <c r="M37" s="14" t="s">
        <v>517</v>
      </c>
      <c r="N37" s="14" t="s">
        <v>496</v>
      </c>
      <c r="O37" s="16"/>
      <c r="P37" s="16"/>
      <c r="Q37" s="20" t="s">
        <v>409</v>
      </c>
    </row>
    <row r="38" ht="27.0" customHeight="1">
      <c r="A38" s="14" t="s">
        <v>431</v>
      </c>
      <c r="B38" s="14" t="s">
        <v>36</v>
      </c>
      <c r="C38" s="14" t="str">
        <f>IF(B38="A",EQUIPE!$B$5,IF(B38="B",EQUIPE!$B$6,IF(B38="C",EQUIPE!$B$7,IF(B38="A+B",EQUIPE!$B$5&amp;" + "&amp;EQUIPE!$B$6,IF(B38="A+C",EQUIPE!$B$5&amp;" + "&amp;EQUIPE!$B$7,"Trio")))))</f>
        <v>Erasmo</v>
      </c>
      <c r="D38" s="14" t="s">
        <v>85</v>
      </c>
      <c r="E38" s="14" t="s">
        <v>518</v>
      </c>
      <c r="F38" s="17">
        <v>46324.0</v>
      </c>
      <c r="G38" s="14" t="s">
        <v>519</v>
      </c>
      <c r="H38" s="14" t="str">
        <f>IF(COUNTIF(DEPENDENCIAS!$A$5:$A$72,A38)=0,"OK",IF(COUNTIFS(DEPENDENCIAS!$A$5:$A$72,A38,DEPENDENCIAS!$D$5:$D$72,"PENDENTE")=0,"OK","AGUARDAR"))</f>
        <v>AGUARDAR</v>
      </c>
      <c r="I38" s="16" t="s">
        <v>83</v>
      </c>
      <c r="J38" s="18" t="s">
        <v>89</v>
      </c>
      <c r="K38" s="19"/>
      <c r="L38" s="14" t="s">
        <v>520</v>
      </c>
      <c r="M38" s="14" t="s">
        <v>521</v>
      </c>
      <c r="N38" s="14" t="s">
        <v>224</v>
      </c>
      <c r="O38" s="16"/>
      <c r="P38" s="16"/>
      <c r="Q38" s="20" t="s">
        <v>305</v>
      </c>
    </row>
    <row r="39" ht="27.0" customHeight="1">
      <c r="A39" s="14" t="s">
        <v>437</v>
      </c>
      <c r="B39" s="14" t="s">
        <v>29</v>
      </c>
      <c r="C39" s="14" t="str">
        <f>IF(B39="A",EQUIPE!$B$5,IF(B39="B",EQUIPE!$B$6,IF(B39="C",EQUIPE!$B$7,IF(B39="A+B",EQUIPE!$B$5&amp;" + "&amp;EQUIPE!$B$6,IF(B39="A+C",EQUIPE!$B$5&amp;" + "&amp;EQUIPE!$B$7,"Trio")))))</f>
        <v>Riquelme</v>
      </c>
      <c r="D39" s="14" t="s">
        <v>85</v>
      </c>
      <c r="E39" s="14" t="s">
        <v>522</v>
      </c>
      <c r="F39" s="17">
        <v>46329.0</v>
      </c>
      <c r="G39" s="14" t="s">
        <v>523</v>
      </c>
      <c r="H39" s="14" t="str">
        <f>IF(COUNTIF(DEPENDENCIAS!$A$5:$A$72,A39)=0,"OK",IF(COUNTIFS(DEPENDENCIAS!$A$5:$A$72,A39,DEPENDENCIAS!$D$5:$D$72,"PENDENTE")=0,"OK","AGUARDAR"))</f>
        <v>AGUARDAR</v>
      </c>
      <c r="I39" s="16" t="s">
        <v>83</v>
      </c>
      <c r="J39" s="18" t="s">
        <v>89</v>
      </c>
      <c r="K39" s="19"/>
      <c r="L39" s="14" t="s">
        <v>524</v>
      </c>
      <c r="M39" s="14" t="s">
        <v>525</v>
      </c>
      <c r="N39" s="14" t="s">
        <v>224</v>
      </c>
      <c r="O39" s="16"/>
      <c r="P39" s="16"/>
      <c r="Q39" s="20" t="s">
        <v>409</v>
      </c>
    </row>
    <row r="40" ht="27.0" customHeight="1">
      <c r="A40" s="14" t="s">
        <v>445</v>
      </c>
      <c r="B40" s="14" t="s">
        <v>29</v>
      </c>
      <c r="C40" s="14" t="str">
        <f>IF(B40="A",EQUIPE!$B$5,IF(B40="B",EQUIPE!$B$6,IF(B40="C",EQUIPE!$B$7,IF(B40="A+B",EQUIPE!$B$5&amp;" + "&amp;EQUIPE!$B$6,IF(B40="A+C",EQUIPE!$B$5&amp;" + "&amp;EQUIPE!$B$7,"Trio")))))</f>
        <v>Riquelme</v>
      </c>
      <c r="D40" s="14" t="s">
        <v>85</v>
      </c>
      <c r="E40" s="14" t="s">
        <v>526</v>
      </c>
      <c r="F40" s="17">
        <v>46329.0</v>
      </c>
      <c r="G40" s="14" t="s">
        <v>143</v>
      </c>
      <c r="H40" s="14" t="str">
        <f>IF(COUNTIF(DEPENDENCIAS!$A$5:$A$72,A40)=0,"OK",IF(COUNTIFS(DEPENDENCIAS!$A$5:$A$72,A40,DEPENDENCIAS!$D$5:$D$72,"PENDENTE")=0,"OK","AGUARDAR"))</f>
        <v>AGUARDAR</v>
      </c>
      <c r="I40" s="16" t="s">
        <v>83</v>
      </c>
      <c r="J40" s="18" t="s">
        <v>89</v>
      </c>
      <c r="K40" s="19"/>
      <c r="L40" s="14" t="s">
        <v>527</v>
      </c>
      <c r="M40" s="14" t="s">
        <v>528</v>
      </c>
      <c r="N40" s="14" t="s">
        <v>529</v>
      </c>
      <c r="O40" s="16"/>
      <c r="P40" s="16"/>
      <c r="Q40" s="20" t="s">
        <v>409</v>
      </c>
    </row>
    <row r="41" ht="27.0" customHeight="1">
      <c r="A41" s="14" t="s">
        <v>447</v>
      </c>
      <c r="B41" s="14" t="s">
        <v>29</v>
      </c>
      <c r="C41" s="14" t="str">
        <f>IF(B41="A",EQUIPE!$B$5,IF(B41="B",EQUIPE!$B$6,IF(B41="C",EQUIPE!$B$7,IF(B41="A+B",EQUIPE!$B$5&amp;" + "&amp;EQUIPE!$B$6,IF(B41="A+C",EQUIPE!$B$5&amp;" + "&amp;EQUIPE!$B$7,"Trio")))))</f>
        <v>Riquelme</v>
      </c>
      <c r="D41" s="14" t="s">
        <v>85</v>
      </c>
      <c r="E41" s="14" t="s">
        <v>530</v>
      </c>
      <c r="F41" s="17">
        <v>46329.0</v>
      </c>
      <c r="G41" s="14" t="s">
        <v>431</v>
      </c>
      <c r="H41" s="14" t="str">
        <f>IF(COUNTIF(DEPENDENCIAS!$A$5:$A$72,A41)=0,"OK",IF(COUNTIFS(DEPENDENCIAS!$A$5:$A$72,A41,DEPENDENCIAS!$D$5:$D$72,"PENDENTE")=0,"OK","AGUARDAR"))</f>
        <v>AGUARDAR</v>
      </c>
      <c r="I41" s="16" t="s">
        <v>83</v>
      </c>
      <c r="J41" s="18" t="s">
        <v>89</v>
      </c>
      <c r="K41" s="19"/>
      <c r="L41" s="14" t="s">
        <v>531</v>
      </c>
      <c r="M41" s="14" t="s">
        <v>532</v>
      </c>
      <c r="N41" s="14" t="s">
        <v>529</v>
      </c>
      <c r="O41" s="16"/>
      <c r="P41" s="16"/>
      <c r="Q41" s="20" t="s">
        <v>409</v>
      </c>
    </row>
    <row r="42" ht="27.0" customHeight="1">
      <c r="A42" s="14" t="s">
        <v>450</v>
      </c>
      <c r="B42" s="14" t="s">
        <v>36</v>
      </c>
      <c r="C42" s="14" t="str">
        <f>IF(B42="A",EQUIPE!$B$5,IF(B42="B",EQUIPE!$B$6,IF(B42="C",EQUIPE!$B$7,IF(B42="A+B",EQUIPE!$B$5&amp;" + "&amp;EQUIPE!$B$6,IF(B42="A+C",EQUIPE!$B$5&amp;" + "&amp;EQUIPE!$B$7,"Trio")))))</f>
        <v>Erasmo</v>
      </c>
      <c r="D42" s="14" t="s">
        <v>85</v>
      </c>
      <c r="E42" s="14" t="s">
        <v>533</v>
      </c>
      <c r="F42" s="17">
        <v>46329.0</v>
      </c>
      <c r="G42" s="14" t="s">
        <v>431</v>
      </c>
      <c r="H42" s="14" t="str">
        <f>IF(COUNTIF(DEPENDENCIAS!$A$5:$A$72,A42)=0,"OK",IF(COUNTIFS(DEPENDENCIAS!$A$5:$A$72,A42,DEPENDENCIAS!$D$5:$D$72,"PENDENTE")=0,"OK","AGUARDAR"))</f>
        <v>AGUARDAR</v>
      </c>
      <c r="I42" s="16" t="s">
        <v>83</v>
      </c>
      <c r="J42" s="18" t="s">
        <v>89</v>
      </c>
      <c r="K42" s="19"/>
      <c r="L42" s="14" t="s">
        <v>534</v>
      </c>
      <c r="M42" s="14" t="s">
        <v>535</v>
      </c>
      <c r="N42" s="14" t="s">
        <v>128</v>
      </c>
      <c r="O42" s="16"/>
      <c r="P42" s="16"/>
      <c r="Q42" s="20" t="s">
        <v>409</v>
      </c>
    </row>
    <row r="43" ht="27.0" customHeight="1">
      <c r="A43" s="14" t="s">
        <v>453</v>
      </c>
      <c r="B43" s="14" t="s">
        <v>29</v>
      </c>
      <c r="C43" s="14" t="str">
        <f>IF(B43="A",EQUIPE!$B$5,IF(B43="B",EQUIPE!$B$6,IF(B43="C",EQUIPE!$B$7,IF(B43="A+B",EQUIPE!$B$5&amp;" + "&amp;EQUIPE!$B$6,IF(B43="A+C",EQUIPE!$B$5&amp;" + "&amp;EQUIPE!$B$7,"Trio")))))</f>
        <v>Riquelme</v>
      </c>
      <c r="D43" s="14" t="s">
        <v>85</v>
      </c>
      <c r="E43" s="14" t="s">
        <v>536</v>
      </c>
      <c r="F43" s="17">
        <v>46329.0</v>
      </c>
      <c r="G43" s="14" t="s">
        <v>537</v>
      </c>
      <c r="H43" s="14" t="str">
        <f>IF(COUNTIF(DEPENDENCIAS!$A$5:$A$72,A43)=0,"OK",IF(COUNTIFS(DEPENDENCIAS!$A$5:$A$72,A43,DEPENDENCIAS!$D$5:$D$72,"PENDENTE")=0,"OK","AGUARDAR"))</f>
        <v>AGUARDAR</v>
      </c>
      <c r="I43" s="16" t="s">
        <v>83</v>
      </c>
      <c r="J43" s="18" t="s">
        <v>89</v>
      </c>
      <c r="K43" s="19"/>
      <c r="L43" s="14" t="s">
        <v>538</v>
      </c>
      <c r="M43" s="14" t="s">
        <v>539</v>
      </c>
      <c r="N43" s="14" t="s">
        <v>540</v>
      </c>
      <c r="O43" s="16"/>
      <c r="P43" s="16"/>
      <c r="Q43" s="20" t="s">
        <v>409</v>
      </c>
    </row>
    <row r="44" ht="27.0" customHeight="1">
      <c r="A44" s="14" t="s">
        <v>461</v>
      </c>
      <c r="B44" s="14" t="s">
        <v>20</v>
      </c>
      <c r="C44" s="14" t="str">
        <f>IF(B44="A",EQUIPE!$B$5,IF(B44="B",EQUIPE!$B$6,IF(B44="C",EQUIPE!$B$7,IF(B44="A+B",EQUIPE!$B$5&amp;" + "&amp;EQUIPE!$B$6,IF(B44="A+C",EQUIPE!$B$5&amp;" + "&amp;EQUIPE!$B$7,"Trio")))))</f>
        <v>Victor André</v>
      </c>
      <c r="D44" s="14" t="s">
        <v>85</v>
      </c>
      <c r="E44" s="14" t="s">
        <v>541</v>
      </c>
      <c r="F44" s="17">
        <v>46329.0</v>
      </c>
      <c r="G44" s="14" t="s">
        <v>453</v>
      </c>
      <c r="H44" s="14" t="str">
        <f>IF(COUNTIF(DEPENDENCIAS!$A$5:$A$72,A44)=0,"OK",IF(COUNTIFS(DEPENDENCIAS!$A$5:$A$72,A44,DEPENDENCIAS!$D$5:$D$72,"PENDENTE")=0,"OK","AGUARDAR"))</f>
        <v>AGUARDAR</v>
      </c>
      <c r="I44" s="16" t="s">
        <v>83</v>
      </c>
      <c r="J44" s="18" t="s">
        <v>89</v>
      </c>
      <c r="K44" s="19"/>
      <c r="L44" s="14" t="s">
        <v>542</v>
      </c>
      <c r="M44" s="14" t="s">
        <v>543</v>
      </c>
      <c r="N44" s="14" t="s">
        <v>540</v>
      </c>
      <c r="O44" s="16"/>
      <c r="P44" s="16"/>
      <c r="Q44" s="20" t="s">
        <v>409</v>
      </c>
    </row>
    <row r="45" ht="27.0" customHeight="1">
      <c r="A45" s="14" t="s">
        <v>465</v>
      </c>
      <c r="B45" s="14" t="s">
        <v>366</v>
      </c>
      <c r="C45" s="14" t="str">
        <f>IF(B45="A",EQUIPE!$B$5,IF(B45="B",EQUIPE!$B$6,IF(B45="C",EQUIPE!$B$7,IF(B45="A+B",EQUIPE!$B$5&amp;" + "&amp;EQUIPE!$B$6,IF(B45="A+C",EQUIPE!$B$5&amp;" + "&amp;EQUIPE!$B$7,"Trio")))))</f>
        <v>Trio</v>
      </c>
      <c r="D45" s="14" t="s">
        <v>85</v>
      </c>
      <c r="E45" s="14" t="s">
        <v>544</v>
      </c>
      <c r="F45" s="17">
        <v>46334.0</v>
      </c>
      <c r="G45" s="14" t="s">
        <v>461</v>
      </c>
      <c r="H45" s="14" t="str">
        <f>IF(COUNTIF(DEPENDENCIAS!$A$5:$A$72,A45)=0,"OK",IF(COUNTIFS(DEPENDENCIAS!$A$5:$A$72,A45,DEPENDENCIAS!$D$5:$D$72,"PENDENTE")=0,"OK","AGUARDAR"))</f>
        <v>AGUARDAR</v>
      </c>
      <c r="I45" s="16" t="s">
        <v>83</v>
      </c>
      <c r="J45" s="18" t="s">
        <v>89</v>
      </c>
      <c r="K45" s="19"/>
      <c r="L45" s="14" t="s">
        <v>545</v>
      </c>
      <c r="M45" s="14" t="s">
        <v>546</v>
      </c>
      <c r="N45" s="14" t="s">
        <v>529</v>
      </c>
      <c r="O45" s="16"/>
      <c r="P45" s="16"/>
      <c r="Q45" s="20" t="s">
        <v>547</v>
      </c>
    </row>
    <row r="46" ht="27.0" customHeight="1">
      <c r="A46" s="14" t="s">
        <v>466</v>
      </c>
      <c r="B46" s="14" t="s">
        <v>366</v>
      </c>
      <c r="C46" s="14" t="str">
        <f>IF(B46="A",EQUIPE!$B$5,IF(B46="B",EQUIPE!$B$6,IF(B46="C",EQUIPE!$B$7,IF(B46="A+B",EQUIPE!$B$5&amp;" + "&amp;EQUIPE!$B$6,IF(B46="A+C",EQUIPE!$B$5&amp;" + "&amp;EQUIPE!$B$7,"Trio")))))</f>
        <v>Trio</v>
      </c>
      <c r="D46" s="14" t="s">
        <v>85</v>
      </c>
      <c r="E46" s="14" t="s">
        <v>548</v>
      </c>
      <c r="F46" s="17">
        <v>46336.0</v>
      </c>
      <c r="G46" s="14" t="s">
        <v>465</v>
      </c>
      <c r="H46" s="14" t="str">
        <f>IF(COUNTIF(DEPENDENCIAS!$A$5:$A$72,A46)=0,"OK",IF(COUNTIFS(DEPENDENCIAS!$A$5:$A$72,A46,DEPENDENCIAS!$D$5:$D$72,"PENDENTE")=0,"OK","AGUARDAR"))</f>
        <v>AGUARDAR</v>
      </c>
      <c r="I46" s="16" t="s">
        <v>83</v>
      </c>
      <c r="J46" s="18" t="s">
        <v>89</v>
      </c>
      <c r="K46" s="19"/>
      <c r="L46" s="14" t="s">
        <v>549</v>
      </c>
      <c r="M46" s="14" t="s">
        <v>550</v>
      </c>
      <c r="N46" s="14" t="s">
        <v>529</v>
      </c>
      <c r="O46" s="16"/>
      <c r="P46" s="16"/>
      <c r="Q46" s="20" t="s">
        <v>547</v>
      </c>
    </row>
    <row r="47" ht="27.0" customHeight="1">
      <c r="A47" s="14" t="s">
        <v>468</v>
      </c>
      <c r="B47" s="14" t="s">
        <v>366</v>
      </c>
      <c r="C47" s="14" t="str">
        <f>IF(B47="A",EQUIPE!$B$5,IF(B47="B",EQUIPE!$B$6,IF(B47="C",EQUIPE!$B$7,IF(B47="A+B",EQUIPE!$B$5&amp;" + "&amp;EQUIPE!$B$6,IF(B47="A+C",EQUIPE!$B$5&amp;" + "&amp;EQUIPE!$B$7,"Trio")))))</f>
        <v>Trio</v>
      </c>
      <c r="D47" s="14" t="s">
        <v>85</v>
      </c>
      <c r="E47" s="14" t="s">
        <v>551</v>
      </c>
      <c r="F47" s="17">
        <v>46337.0</v>
      </c>
      <c r="G47" s="14" t="s">
        <v>466</v>
      </c>
      <c r="H47" s="14" t="str">
        <f>IF(COUNTIF(DEPENDENCIAS!$A$5:$A$72,A47)=0,"OK",IF(COUNTIFS(DEPENDENCIAS!$A$5:$A$72,A47,DEPENDENCIAS!$D$5:$D$72,"PENDENTE")=0,"OK","AGUARDAR"))</f>
        <v>AGUARDAR</v>
      </c>
      <c r="I47" s="16" t="s">
        <v>83</v>
      </c>
      <c r="J47" s="18" t="s">
        <v>89</v>
      </c>
      <c r="K47" s="19"/>
      <c r="L47" s="14" t="s">
        <v>552</v>
      </c>
      <c r="M47" s="14" t="s">
        <v>553</v>
      </c>
      <c r="N47" s="14" t="s">
        <v>540</v>
      </c>
      <c r="O47" s="16"/>
      <c r="P47" s="16"/>
      <c r="Q47" s="20" t="s">
        <v>554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2:P2"/>
  </mergeCells>
  <conditionalFormatting sqref="D5:D47">
    <cfRule type="expression" dxfId="7" priority="1">
      <formula>D5="P0"</formula>
    </cfRule>
  </conditionalFormatting>
  <conditionalFormatting sqref="J5:J47">
    <cfRule type="expression" dxfId="5" priority="2">
      <formula>J5="Concluído"</formula>
    </cfRule>
  </conditionalFormatting>
  <conditionalFormatting sqref="J5:J47">
    <cfRule type="expression" dxfId="6" priority="3">
      <formula>J5="Bloqueado"</formula>
    </cfRule>
  </conditionalFormatting>
  <dataValidations>
    <dataValidation type="list" allowBlank="1" sqref="I5:I47">
      <formula1>"Não,Sim"</formula1>
    </dataValidation>
    <dataValidation type="list" allowBlank="1" sqref="J5:J47">
      <formula1>"Planejado,Pronto,Em andamento,Em revisão,Bloqueado,Concluído"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2" width="21.0"/>
    <col customWidth="1" min="3" max="3" width="27.0"/>
    <col customWidth="1" min="4" max="4" width="19.0"/>
    <col customWidth="1" min="5" max="5" width="20.0"/>
    <col customWidth="1" min="6" max="6" width="75.0"/>
    <col customWidth="1" min="7" max="26" width="8.63"/>
  </cols>
  <sheetData>
    <row r="1" ht="36.0" customHeight="1">
      <c r="A1" s="1" t="s">
        <v>35</v>
      </c>
    </row>
    <row r="2" ht="27.75" customHeight="1">
      <c r="A2" s="2" t="s">
        <v>43</v>
      </c>
    </row>
    <row r="3" ht="9.75" customHeight="1"/>
    <row r="4" ht="30.0" customHeight="1">
      <c r="A4" s="12" t="s">
        <v>47</v>
      </c>
      <c r="B4" s="12" t="s">
        <v>62</v>
      </c>
      <c r="C4" s="12" t="s">
        <v>64</v>
      </c>
      <c r="D4" s="12" t="s">
        <v>66</v>
      </c>
      <c r="E4" s="12" t="s">
        <v>67</v>
      </c>
      <c r="F4" s="12" t="s">
        <v>69</v>
      </c>
    </row>
    <row r="5" ht="27.0" customHeight="1">
      <c r="A5" s="14" t="s">
        <v>71</v>
      </c>
      <c r="B5" s="14" t="s">
        <v>73</v>
      </c>
      <c r="C5" s="14" t="str">
        <f>IF(COUNTIFS(TAREFAS!$A$5:$A$47,B5,TAREFAS!$J$5:$J$47,"Concluído")&gt;0,"Concluído","Pendente")</f>
        <v>Pendente</v>
      </c>
      <c r="D5" s="14" t="str">
        <f t="shared" ref="D5:D72" si="1">IF(OR(C5="Concluído",AND(E5="Sim",F5&lt;&gt;"")),"OK","PENDENTE")</f>
        <v>PENDENTE</v>
      </c>
      <c r="E5" s="16" t="s">
        <v>83</v>
      </c>
      <c r="F5" s="16"/>
    </row>
    <row r="6" ht="27.0" customHeight="1">
      <c r="A6" s="14" t="s">
        <v>84</v>
      </c>
      <c r="B6" s="14" t="s">
        <v>73</v>
      </c>
      <c r="C6" s="14" t="str">
        <f>IF(COUNTIFS(TAREFAS!$A$5:$A$47,B6,TAREFAS!$J$5:$J$47,"Concluído")&gt;0,"Concluído","Pendente")</f>
        <v>Pendente</v>
      </c>
      <c r="D6" s="14" t="str">
        <f t="shared" si="1"/>
        <v>PENDENTE</v>
      </c>
      <c r="E6" s="16" t="s">
        <v>83</v>
      </c>
      <c r="F6" s="16"/>
    </row>
    <row r="7" ht="27.0" customHeight="1">
      <c r="A7" s="14" t="s">
        <v>88</v>
      </c>
      <c r="B7" s="14" t="s">
        <v>73</v>
      </c>
      <c r="C7" s="14" t="str">
        <f>IF(COUNTIFS(TAREFAS!$A$5:$A$47,B7,TAREFAS!$J$5:$J$47,"Concluído")&gt;0,"Concluído","Pendente")</f>
        <v>Pendente</v>
      </c>
      <c r="D7" s="14" t="str">
        <f t="shared" si="1"/>
        <v>PENDENTE</v>
      </c>
      <c r="E7" s="16" t="s">
        <v>83</v>
      </c>
      <c r="F7" s="16"/>
    </row>
    <row r="8" ht="27.0" customHeight="1">
      <c r="A8" s="14" t="s">
        <v>93</v>
      </c>
      <c r="B8" s="14" t="s">
        <v>73</v>
      </c>
      <c r="C8" s="14" t="str">
        <f>IF(COUNTIFS(TAREFAS!$A$5:$A$47,B8,TAREFAS!$J$5:$J$47,"Concluído")&gt;0,"Concluído","Pendente")</f>
        <v>Pendente</v>
      </c>
      <c r="D8" s="14" t="str">
        <f t="shared" si="1"/>
        <v>PENDENTE</v>
      </c>
      <c r="E8" s="16" t="s">
        <v>83</v>
      </c>
      <c r="F8" s="16"/>
    </row>
    <row r="9" ht="27.0" customHeight="1">
      <c r="A9" s="14" t="s">
        <v>95</v>
      </c>
      <c r="B9" s="14" t="s">
        <v>71</v>
      </c>
      <c r="C9" s="14" t="str">
        <f>IF(COUNTIFS(TAREFAS!$A$5:$A$47,B9,TAREFAS!$J$5:$J$47,"Concluído")&gt;0,"Concluído","Pendente")</f>
        <v>Pendente</v>
      </c>
      <c r="D9" s="14" t="str">
        <f t="shared" si="1"/>
        <v>PENDENTE</v>
      </c>
      <c r="E9" s="16" t="s">
        <v>83</v>
      </c>
      <c r="F9" s="16"/>
    </row>
    <row r="10" ht="27.0" customHeight="1">
      <c r="A10" s="14" t="s">
        <v>97</v>
      </c>
      <c r="B10" s="14" t="s">
        <v>95</v>
      </c>
      <c r="C10" s="14" t="str">
        <f>IF(COUNTIFS(TAREFAS!$A$5:$A$47,B10,TAREFAS!$J$5:$J$47,"Concluído")&gt;0,"Concluído","Pendente")</f>
        <v>Pendente</v>
      </c>
      <c r="D10" s="14" t="str">
        <f t="shared" si="1"/>
        <v>PENDENTE</v>
      </c>
      <c r="E10" s="16" t="s">
        <v>83</v>
      </c>
      <c r="F10" s="16"/>
    </row>
    <row r="11" ht="27.0" customHeight="1">
      <c r="A11" s="14" t="s">
        <v>101</v>
      </c>
      <c r="B11" s="14" t="s">
        <v>93</v>
      </c>
      <c r="C11" s="14" t="str">
        <f>IF(COUNTIFS(TAREFAS!$A$5:$A$47,B11,TAREFAS!$J$5:$J$47,"Concluído")&gt;0,"Concluído","Pendente")</f>
        <v>Pendente</v>
      </c>
      <c r="D11" s="14" t="str">
        <f t="shared" si="1"/>
        <v>PENDENTE</v>
      </c>
      <c r="E11" s="16" t="s">
        <v>83</v>
      </c>
      <c r="F11" s="16"/>
    </row>
    <row r="12" ht="27.0" customHeight="1">
      <c r="A12" s="14" t="s">
        <v>101</v>
      </c>
      <c r="B12" s="14" t="s">
        <v>71</v>
      </c>
      <c r="C12" s="14" t="str">
        <f>IF(COUNTIFS(TAREFAS!$A$5:$A$47,B12,TAREFAS!$J$5:$J$47,"Concluído")&gt;0,"Concluído","Pendente")</f>
        <v>Pendente</v>
      </c>
      <c r="D12" s="14" t="str">
        <f t="shared" si="1"/>
        <v>PENDENTE</v>
      </c>
      <c r="E12" s="16" t="s">
        <v>83</v>
      </c>
      <c r="F12" s="16"/>
    </row>
    <row r="13" ht="27.0" customHeight="1">
      <c r="A13" s="14" t="s">
        <v>125</v>
      </c>
      <c r="B13" s="14" t="s">
        <v>84</v>
      </c>
      <c r="C13" s="14" t="str">
        <f>IF(COUNTIFS(TAREFAS!$A$5:$A$47,B13,TAREFAS!$J$5:$J$47,"Concluído")&gt;0,"Concluído","Pendente")</f>
        <v>Pendente</v>
      </c>
      <c r="D13" s="14" t="str">
        <f t="shared" si="1"/>
        <v>PENDENTE</v>
      </c>
      <c r="E13" s="16" t="s">
        <v>83</v>
      </c>
      <c r="F13" s="16"/>
    </row>
    <row r="14" ht="27.0" customHeight="1">
      <c r="A14" s="14" t="s">
        <v>129</v>
      </c>
      <c r="B14" s="14" t="s">
        <v>125</v>
      </c>
      <c r="C14" s="14" t="str">
        <f>IF(COUNTIFS(TAREFAS!$A$5:$A$47,B14,TAREFAS!$J$5:$J$47,"Concluído")&gt;0,"Concluído","Pendente")</f>
        <v>Pendente</v>
      </c>
      <c r="D14" s="14" t="str">
        <f t="shared" si="1"/>
        <v>PENDENTE</v>
      </c>
      <c r="E14" s="16" t="s">
        <v>83</v>
      </c>
      <c r="F14" s="16"/>
    </row>
    <row r="15" ht="27.0" customHeight="1">
      <c r="A15" s="14" t="s">
        <v>143</v>
      </c>
      <c r="B15" s="14" t="s">
        <v>129</v>
      </c>
      <c r="C15" s="14" t="str">
        <f>IF(COUNTIFS(TAREFAS!$A$5:$A$47,B15,TAREFAS!$J$5:$J$47,"Concluído")&gt;0,"Concluído","Pendente")</f>
        <v>Pendente</v>
      </c>
      <c r="D15" s="14" t="str">
        <f t="shared" si="1"/>
        <v>PENDENTE</v>
      </c>
      <c r="E15" s="16" t="s">
        <v>83</v>
      </c>
      <c r="F15" s="16"/>
    </row>
    <row r="16" ht="27.0" customHeight="1">
      <c r="A16" s="14" t="s">
        <v>143</v>
      </c>
      <c r="B16" s="14" t="s">
        <v>97</v>
      </c>
      <c r="C16" s="14" t="str">
        <f>IF(COUNTIFS(TAREFAS!$A$5:$A$47,B16,TAREFAS!$J$5:$J$47,"Concluído")&gt;0,"Concluído","Pendente")</f>
        <v>Pendente</v>
      </c>
      <c r="D16" s="14" t="str">
        <f t="shared" si="1"/>
        <v>PENDENTE</v>
      </c>
      <c r="E16" s="16" t="s">
        <v>83</v>
      </c>
      <c r="F16" s="16"/>
    </row>
    <row r="17" ht="27.0" customHeight="1">
      <c r="A17" s="14" t="s">
        <v>175</v>
      </c>
      <c r="B17" s="14" t="s">
        <v>129</v>
      </c>
      <c r="C17" s="14" t="str">
        <f>IF(COUNTIFS(TAREFAS!$A$5:$A$47,B17,TAREFAS!$J$5:$J$47,"Concluído")&gt;0,"Concluído","Pendente")</f>
        <v>Pendente</v>
      </c>
      <c r="D17" s="14" t="str">
        <f t="shared" si="1"/>
        <v>PENDENTE</v>
      </c>
      <c r="E17" s="16" t="s">
        <v>83</v>
      </c>
      <c r="F17" s="16"/>
    </row>
    <row r="18" ht="27.0" customHeight="1">
      <c r="A18" s="14" t="s">
        <v>175</v>
      </c>
      <c r="B18" s="14" t="s">
        <v>181</v>
      </c>
      <c r="C18" s="14" t="str">
        <f>IF(COUNTIFS(TAREFAS!$A$5:$A$47,B18,TAREFAS!$J$5:$J$47,"Concluído")&gt;0,"Concluído","Pendente")</f>
        <v>Pendente</v>
      </c>
      <c r="D18" s="14" t="str">
        <f t="shared" si="1"/>
        <v>PENDENTE</v>
      </c>
      <c r="E18" s="16" t="s">
        <v>83</v>
      </c>
      <c r="F18" s="16"/>
    </row>
    <row r="19" ht="27.0" customHeight="1">
      <c r="A19" s="14" t="s">
        <v>175</v>
      </c>
      <c r="B19" s="14" t="s">
        <v>183</v>
      </c>
      <c r="C19" s="14" t="str">
        <f>IF(COUNTIFS(TAREFAS!$A$5:$A$47,B19,TAREFAS!$J$5:$J$47,"Concluído")&gt;0,"Concluído","Pendente")</f>
        <v>Pendente</v>
      </c>
      <c r="D19" s="14" t="str">
        <f t="shared" si="1"/>
        <v>PENDENTE</v>
      </c>
      <c r="E19" s="16" t="s">
        <v>83</v>
      </c>
      <c r="F19" s="16"/>
    </row>
    <row r="20" ht="27.0" customHeight="1">
      <c r="A20" s="14" t="s">
        <v>186</v>
      </c>
      <c r="B20" s="14" t="s">
        <v>88</v>
      </c>
      <c r="C20" s="14" t="str">
        <f>IF(COUNTIFS(TAREFAS!$A$5:$A$47,B20,TAREFAS!$J$5:$J$47,"Concluído")&gt;0,"Concluído","Pendente")</f>
        <v>Pendente</v>
      </c>
      <c r="D20" s="14" t="str">
        <f t="shared" si="1"/>
        <v>PENDENTE</v>
      </c>
      <c r="E20" s="16" t="s">
        <v>83</v>
      </c>
      <c r="F20" s="16"/>
    </row>
    <row r="21" ht="27.0" customHeight="1">
      <c r="A21" s="14" t="s">
        <v>186</v>
      </c>
      <c r="B21" s="14" t="s">
        <v>71</v>
      </c>
      <c r="C21" s="14" t="str">
        <f>IF(COUNTIFS(TAREFAS!$A$5:$A$47,B21,TAREFAS!$J$5:$J$47,"Concluído")&gt;0,"Concluído","Pendente")</f>
        <v>Pendente</v>
      </c>
      <c r="D21" s="14" t="str">
        <f t="shared" si="1"/>
        <v>PENDENTE</v>
      </c>
      <c r="E21" s="16" t="s">
        <v>83</v>
      </c>
      <c r="F21" s="16"/>
    </row>
    <row r="22" ht="27.0" customHeight="1">
      <c r="A22" s="14" t="s">
        <v>189</v>
      </c>
      <c r="B22" s="14" t="s">
        <v>175</v>
      </c>
      <c r="C22" s="14" t="str">
        <f>IF(COUNTIFS(TAREFAS!$A$5:$A$47,B22,TAREFAS!$J$5:$J$47,"Concluído")&gt;0,"Concluído","Pendente")</f>
        <v>Pendente</v>
      </c>
      <c r="D22" s="14" t="str">
        <f t="shared" si="1"/>
        <v>PENDENTE</v>
      </c>
      <c r="E22" s="16" t="s">
        <v>83</v>
      </c>
      <c r="F22" s="16"/>
    </row>
    <row r="23" ht="27.0" customHeight="1">
      <c r="A23" s="14" t="s">
        <v>189</v>
      </c>
      <c r="B23" s="14" t="s">
        <v>186</v>
      </c>
      <c r="C23" s="14" t="str">
        <f>IF(COUNTIFS(TAREFAS!$A$5:$A$47,B23,TAREFAS!$J$5:$J$47,"Concluído")&gt;0,"Concluído","Pendente")</f>
        <v>Pendente</v>
      </c>
      <c r="D23" s="14" t="str">
        <f t="shared" si="1"/>
        <v>PENDENTE</v>
      </c>
      <c r="E23" s="16" t="s">
        <v>83</v>
      </c>
      <c r="F23" s="16"/>
    </row>
    <row r="24" ht="27.0" customHeight="1">
      <c r="A24" s="14" t="s">
        <v>194</v>
      </c>
      <c r="B24" s="14" t="s">
        <v>97</v>
      </c>
      <c r="C24" s="14" t="str">
        <f>IF(COUNTIFS(TAREFAS!$A$5:$A$47,B24,TAREFAS!$J$5:$J$47,"Concluído")&gt;0,"Concluído","Pendente")</f>
        <v>Pendente</v>
      </c>
      <c r="D24" s="14" t="str">
        <f t="shared" si="1"/>
        <v>PENDENTE</v>
      </c>
      <c r="E24" s="16" t="s">
        <v>83</v>
      </c>
      <c r="F24" s="16"/>
    </row>
    <row r="25" ht="27.0" customHeight="1">
      <c r="A25" s="14" t="s">
        <v>194</v>
      </c>
      <c r="B25" s="14" t="s">
        <v>101</v>
      </c>
      <c r="C25" s="14" t="str">
        <f>IF(COUNTIFS(TAREFAS!$A$5:$A$47,B25,TAREFAS!$J$5:$J$47,"Concluído")&gt;0,"Concluído","Pendente")</f>
        <v>Pendente</v>
      </c>
      <c r="D25" s="14" t="str">
        <f t="shared" si="1"/>
        <v>PENDENTE</v>
      </c>
      <c r="E25" s="16" t="s">
        <v>83</v>
      </c>
      <c r="F25" s="16"/>
    </row>
    <row r="26" ht="27.0" customHeight="1">
      <c r="A26" s="14" t="s">
        <v>194</v>
      </c>
      <c r="B26" s="14" t="s">
        <v>175</v>
      </c>
      <c r="C26" s="14" t="str">
        <f>IF(COUNTIFS(TAREFAS!$A$5:$A$47,B26,TAREFAS!$J$5:$J$47,"Concluído")&gt;0,"Concluído","Pendente")</f>
        <v>Pendente</v>
      </c>
      <c r="D26" s="14" t="str">
        <f t="shared" si="1"/>
        <v>PENDENTE</v>
      </c>
      <c r="E26" s="16" t="s">
        <v>83</v>
      </c>
      <c r="F26" s="16"/>
    </row>
    <row r="27" ht="27.0" customHeight="1">
      <c r="A27" s="14" t="s">
        <v>275</v>
      </c>
      <c r="B27" s="14" t="s">
        <v>88</v>
      </c>
      <c r="C27" s="14" t="str">
        <f>IF(COUNTIFS(TAREFAS!$A$5:$A$47,B27,TAREFAS!$J$5:$J$47,"Concluído")&gt;0,"Concluído","Pendente")</f>
        <v>Pendente</v>
      </c>
      <c r="D27" s="14" t="str">
        <f t="shared" si="1"/>
        <v>PENDENTE</v>
      </c>
      <c r="E27" s="16" t="s">
        <v>83</v>
      </c>
      <c r="F27" s="16"/>
    </row>
    <row r="28" ht="27.0" customHeight="1">
      <c r="A28" s="14" t="s">
        <v>303</v>
      </c>
      <c r="B28" s="14" t="s">
        <v>275</v>
      </c>
      <c r="C28" s="14" t="str">
        <f>IF(COUNTIFS(TAREFAS!$A$5:$A$47,B28,TAREFAS!$J$5:$J$47,"Concluído")&gt;0,"Concluído","Pendente")</f>
        <v>Pendente</v>
      </c>
      <c r="D28" s="14" t="str">
        <f t="shared" si="1"/>
        <v>PENDENTE</v>
      </c>
      <c r="E28" s="16" t="s">
        <v>83</v>
      </c>
      <c r="F28" s="16"/>
    </row>
    <row r="29" ht="27.0" customHeight="1">
      <c r="A29" s="14" t="s">
        <v>306</v>
      </c>
      <c r="B29" s="14" t="s">
        <v>186</v>
      </c>
      <c r="C29" s="14" t="str">
        <f>IF(COUNTIFS(TAREFAS!$A$5:$A$47,B29,TAREFAS!$J$5:$J$47,"Concluído")&gt;0,"Concluído","Pendente")</f>
        <v>Pendente</v>
      </c>
      <c r="D29" s="14" t="str">
        <f t="shared" si="1"/>
        <v>PENDENTE</v>
      </c>
      <c r="E29" s="16" t="s">
        <v>83</v>
      </c>
      <c r="F29" s="16"/>
    </row>
    <row r="30" ht="27.0" customHeight="1">
      <c r="A30" s="14" t="s">
        <v>306</v>
      </c>
      <c r="B30" s="14" t="s">
        <v>303</v>
      </c>
      <c r="C30" s="14" t="str">
        <f>IF(COUNTIFS(TAREFAS!$A$5:$A$47,B30,TAREFAS!$J$5:$J$47,"Concluído")&gt;0,"Concluído","Pendente")</f>
        <v>Pendente</v>
      </c>
      <c r="D30" s="14" t="str">
        <f t="shared" si="1"/>
        <v>PENDENTE</v>
      </c>
      <c r="E30" s="16" t="s">
        <v>83</v>
      </c>
      <c r="F30" s="16"/>
    </row>
    <row r="31" ht="27.0" customHeight="1">
      <c r="A31" s="14" t="s">
        <v>312</v>
      </c>
      <c r="B31" s="14" t="s">
        <v>306</v>
      </c>
      <c r="C31" s="14" t="str">
        <f>IF(COUNTIFS(TAREFAS!$A$5:$A$47,B31,TAREFAS!$J$5:$J$47,"Concluído")&gt;0,"Concluído","Pendente")</f>
        <v>Pendente</v>
      </c>
      <c r="D31" s="14" t="str">
        <f t="shared" si="1"/>
        <v>PENDENTE</v>
      </c>
      <c r="E31" s="16" t="s">
        <v>83</v>
      </c>
      <c r="F31" s="16"/>
    </row>
    <row r="32" ht="27.0" customHeight="1">
      <c r="A32" s="14" t="s">
        <v>314</v>
      </c>
      <c r="B32" s="14" t="s">
        <v>93</v>
      </c>
      <c r="C32" s="14" t="str">
        <f>IF(COUNTIFS(TAREFAS!$A$5:$A$47,B32,TAREFAS!$J$5:$J$47,"Concluído")&gt;0,"Concluído","Pendente")</f>
        <v>Pendente</v>
      </c>
      <c r="D32" s="14" t="str">
        <f t="shared" si="1"/>
        <v>PENDENTE</v>
      </c>
      <c r="E32" s="16" t="s">
        <v>83</v>
      </c>
      <c r="F32" s="16"/>
    </row>
    <row r="33" ht="27.0" customHeight="1">
      <c r="A33" s="14" t="s">
        <v>314</v>
      </c>
      <c r="B33" s="14" t="s">
        <v>101</v>
      </c>
      <c r="C33" s="14" t="str">
        <f>IF(COUNTIFS(TAREFAS!$A$5:$A$47,B33,TAREFAS!$J$5:$J$47,"Concluído")&gt;0,"Concluído","Pendente")</f>
        <v>Pendente</v>
      </c>
      <c r="D33" s="14" t="str">
        <f t="shared" si="1"/>
        <v>PENDENTE</v>
      </c>
      <c r="E33" s="16" t="s">
        <v>83</v>
      </c>
      <c r="F33" s="16"/>
    </row>
    <row r="34" ht="27.0" customHeight="1">
      <c r="A34" s="14" t="s">
        <v>326</v>
      </c>
      <c r="B34" s="14" t="s">
        <v>314</v>
      </c>
      <c r="C34" s="14" t="str">
        <f>IF(COUNTIFS(TAREFAS!$A$5:$A$47,B34,TAREFAS!$J$5:$J$47,"Concluído")&gt;0,"Concluído","Pendente")</f>
        <v>Pendente</v>
      </c>
      <c r="D34" s="14" t="str">
        <f t="shared" si="1"/>
        <v>PENDENTE</v>
      </c>
      <c r="E34" s="16" t="s">
        <v>83</v>
      </c>
      <c r="F34" s="16"/>
    </row>
    <row r="35" ht="27.0" customHeight="1">
      <c r="A35" s="14" t="s">
        <v>336</v>
      </c>
      <c r="B35" s="14" t="s">
        <v>326</v>
      </c>
      <c r="C35" s="14" t="str">
        <f>IF(COUNTIFS(TAREFAS!$A$5:$A$47,B35,TAREFAS!$J$5:$J$47,"Concluído")&gt;0,"Concluído","Pendente")</f>
        <v>Pendente</v>
      </c>
      <c r="D35" s="14" t="str">
        <f t="shared" si="1"/>
        <v>PENDENTE</v>
      </c>
      <c r="E35" s="16" t="s">
        <v>83</v>
      </c>
      <c r="F35" s="16"/>
    </row>
    <row r="36" ht="27.0" customHeight="1">
      <c r="A36" s="14" t="s">
        <v>350</v>
      </c>
      <c r="B36" s="14" t="s">
        <v>312</v>
      </c>
      <c r="C36" s="14" t="str">
        <f>IF(COUNTIFS(TAREFAS!$A$5:$A$47,B36,TAREFAS!$J$5:$J$47,"Concluído")&gt;0,"Concluído","Pendente")</f>
        <v>Pendente</v>
      </c>
      <c r="D36" s="14" t="str">
        <f t="shared" si="1"/>
        <v>PENDENTE</v>
      </c>
      <c r="E36" s="16" t="s">
        <v>83</v>
      </c>
      <c r="F36" s="16"/>
    </row>
    <row r="37" ht="27.0" customHeight="1">
      <c r="A37" s="14" t="s">
        <v>350</v>
      </c>
      <c r="B37" s="14" t="s">
        <v>336</v>
      </c>
      <c r="C37" s="14" t="str">
        <f>IF(COUNTIFS(TAREFAS!$A$5:$A$47,B37,TAREFAS!$J$5:$J$47,"Concluído")&gt;0,"Concluído","Pendente")</f>
        <v>Pendente</v>
      </c>
      <c r="D37" s="14" t="str">
        <f t="shared" si="1"/>
        <v>PENDENTE</v>
      </c>
      <c r="E37" s="16" t="s">
        <v>83</v>
      </c>
      <c r="F37" s="16"/>
    </row>
    <row r="38" ht="27.0" customHeight="1">
      <c r="A38" s="14" t="s">
        <v>181</v>
      </c>
      <c r="B38" s="14" t="s">
        <v>84</v>
      </c>
      <c r="C38" s="14" t="str">
        <f>IF(COUNTIFS(TAREFAS!$A$5:$A$47,B38,TAREFAS!$J$5:$J$47,"Concluído")&gt;0,"Concluído","Pendente")</f>
        <v>Pendente</v>
      </c>
      <c r="D38" s="14" t="str">
        <f t="shared" si="1"/>
        <v>PENDENTE</v>
      </c>
      <c r="E38" s="16" t="s">
        <v>83</v>
      </c>
      <c r="F38" s="16"/>
    </row>
    <row r="39" ht="27.0" customHeight="1">
      <c r="A39" s="14" t="s">
        <v>183</v>
      </c>
      <c r="B39" s="14" t="s">
        <v>84</v>
      </c>
      <c r="C39" s="14" t="str">
        <f>IF(COUNTIFS(TAREFAS!$A$5:$A$47,B39,TAREFAS!$J$5:$J$47,"Concluído")&gt;0,"Concluído","Pendente")</f>
        <v>Pendente</v>
      </c>
      <c r="D39" s="14" t="str">
        <f t="shared" si="1"/>
        <v>PENDENTE</v>
      </c>
      <c r="E39" s="16" t="s">
        <v>83</v>
      </c>
      <c r="F39" s="16"/>
    </row>
    <row r="40" ht="27.0" customHeight="1">
      <c r="A40" s="14" t="s">
        <v>408</v>
      </c>
      <c r="B40" s="14" t="s">
        <v>183</v>
      </c>
      <c r="C40" s="14" t="str">
        <f>IF(COUNTIFS(TAREFAS!$A$5:$A$47,B40,TAREFAS!$J$5:$J$47,"Concluído")&gt;0,"Concluído","Pendente")</f>
        <v>Pendente</v>
      </c>
      <c r="D40" s="14" t="str">
        <f t="shared" si="1"/>
        <v>PENDENTE</v>
      </c>
      <c r="E40" s="16" t="s">
        <v>83</v>
      </c>
      <c r="F40" s="16"/>
    </row>
    <row r="41" ht="27.0" customHeight="1">
      <c r="A41" s="14" t="s">
        <v>408</v>
      </c>
      <c r="B41" s="14" t="s">
        <v>103</v>
      </c>
      <c r="C41" s="14" t="str">
        <f>IF(COUNTIFS(TAREFAS!$A$5:$A$47,B41,TAREFAS!$J$5:$J$47,"Concluído")&gt;0,"Concluído","Pendente")</f>
        <v>Pendente</v>
      </c>
      <c r="D41" s="14" t="str">
        <f t="shared" si="1"/>
        <v>PENDENTE</v>
      </c>
      <c r="E41" s="16" t="s">
        <v>83</v>
      </c>
      <c r="F41" s="16"/>
    </row>
    <row r="42" ht="27.0" customHeight="1">
      <c r="A42" s="14" t="s">
        <v>412</v>
      </c>
      <c r="B42" s="14" t="s">
        <v>181</v>
      </c>
      <c r="C42" s="14" t="str">
        <f>IF(COUNTIFS(TAREFAS!$A$5:$A$47,B42,TAREFAS!$J$5:$J$47,"Concluído")&gt;0,"Concluído","Pendente")</f>
        <v>Pendente</v>
      </c>
      <c r="D42" s="14" t="str">
        <f t="shared" si="1"/>
        <v>PENDENTE</v>
      </c>
      <c r="E42" s="16" t="s">
        <v>83</v>
      </c>
      <c r="F42" s="16"/>
    </row>
    <row r="43" ht="27.0" customHeight="1">
      <c r="A43" s="14" t="s">
        <v>412</v>
      </c>
      <c r="B43" s="14" t="s">
        <v>408</v>
      </c>
      <c r="C43" s="14" t="str">
        <f>IF(COUNTIFS(TAREFAS!$A$5:$A$47,B43,TAREFAS!$J$5:$J$47,"Concluído")&gt;0,"Concluído","Pendente")</f>
        <v>Pendente</v>
      </c>
      <c r="D43" s="14" t="str">
        <f t="shared" si="1"/>
        <v>PENDENTE</v>
      </c>
      <c r="E43" s="16" t="s">
        <v>83</v>
      </c>
      <c r="F43" s="16"/>
    </row>
    <row r="44" ht="27.0" customHeight="1">
      <c r="A44" s="14" t="s">
        <v>412</v>
      </c>
      <c r="B44" s="14" t="s">
        <v>129</v>
      </c>
      <c r="C44" s="14" t="str">
        <f>IF(COUNTIFS(TAREFAS!$A$5:$A$47,B44,TAREFAS!$J$5:$J$47,"Concluído")&gt;0,"Concluído","Pendente")</f>
        <v>Pendente</v>
      </c>
      <c r="D44" s="14" t="str">
        <f t="shared" si="1"/>
        <v>PENDENTE</v>
      </c>
      <c r="E44" s="16" t="s">
        <v>83</v>
      </c>
      <c r="F44" s="16"/>
    </row>
    <row r="45" ht="27.0" customHeight="1">
      <c r="A45" s="14" t="s">
        <v>419</v>
      </c>
      <c r="B45" s="14" t="s">
        <v>412</v>
      </c>
      <c r="C45" s="14" t="str">
        <f>IF(COUNTIFS(TAREFAS!$A$5:$A$47,B45,TAREFAS!$J$5:$J$47,"Concluído")&gt;0,"Concluído","Pendente")</f>
        <v>Pendente</v>
      </c>
      <c r="D45" s="14" t="str">
        <f t="shared" si="1"/>
        <v>PENDENTE</v>
      </c>
      <c r="E45" s="16" t="s">
        <v>83</v>
      </c>
      <c r="F45" s="16"/>
    </row>
    <row r="46" ht="27.0" customHeight="1">
      <c r="A46" s="14" t="s">
        <v>419</v>
      </c>
      <c r="B46" s="14" t="s">
        <v>175</v>
      </c>
      <c r="C46" s="14" t="str">
        <f>IF(COUNTIFS(TAREFAS!$A$5:$A$47,B46,TAREFAS!$J$5:$J$47,"Concluído")&gt;0,"Concluído","Pendente")</f>
        <v>Pendente</v>
      </c>
      <c r="D46" s="14" t="str">
        <f t="shared" si="1"/>
        <v>PENDENTE</v>
      </c>
      <c r="E46" s="16" t="s">
        <v>83</v>
      </c>
      <c r="F46" s="16"/>
    </row>
    <row r="47" ht="27.0" customHeight="1">
      <c r="A47" s="14" t="s">
        <v>422</v>
      </c>
      <c r="B47" s="14" t="s">
        <v>419</v>
      </c>
      <c r="C47" s="14" t="str">
        <f>IF(COUNTIFS(TAREFAS!$A$5:$A$47,B47,TAREFAS!$J$5:$J$47,"Concluído")&gt;0,"Concluído","Pendente")</f>
        <v>Pendente</v>
      </c>
      <c r="D47" s="14" t="str">
        <f t="shared" si="1"/>
        <v>PENDENTE</v>
      </c>
      <c r="E47" s="16" t="s">
        <v>83</v>
      </c>
      <c r="F47" s="16"/>
    </row>
    <row r="48" ht="27.0" customHeight="1">
      <c r="A48" s="14" t="s">
        <v>425</v>
      </c>
      <c r="B48" s="14" t="s">
        <v>422</v>
      </c>
      <c r="C48" s="14" t="str">
        <f>IF(COUNTIFS(TAREFAS!$A$5:$A$47,B48,TAREFAS!$J$5:$J$47,"Concluído")&gt;0,"Concluído","Pendente")</f>
        <v>Pendente</v>
      </c>
      <c r="D48" s="14" t="str">
        <f t="shared" si="1"/>
        <v>PENDENTE</v>
      </c>
      <c r="E48" s="16" t="s">
        <v>83</v>
      </c>
      <c r="F48" s="16"/>
    </row>
    <row r="49" ht="27.0" customHeight="1">
      <c r="A49" s="14" t="s">
        <v>427</v>
      </c>
      <c r="B49" s="14" t="s">
        <v>425</v>
      </c>
      <c r="C49" s="14" t="str">
        <f>IF(COUNTIFS(TAREFAS!$A$5:$A$47,B49,TAREFAS!$J$5:$J$47,"Concluído")&gt;0,"Concluído","Pendente")</f>
        <v>Pendente</v>
      </c>
      <c r="D49" s="14" t="str">
        <f t="shared" si="1"/>
        <v>PENDENTE</v>
      </c>
      <c r="E49" s="16" t="s">
        <v>83</v>
      </c>
      <c r="F49" s="16"/>
    </row>
    <row r="50" ht="27.0" customHeight="1">
      <c r="A50" s="14" t="s">
        <v>427</v>
      </c>
      <c r="B50" s="14" t="s">
        <v>408</v>
      </c>
      <c r="C50" s="14" t="str">
        <f>IF(COUNTIFS(TAREFAS!$A$5:$A$47,B50,TAREFAS!$J$5:$J$47,"Concluído")&gt;0,"Concluído","Pendente")</f>
        <v>Pendente</v>
      </c>
      <c r="D50" s="14" t="str">
        <f t="shared" si="1"/>
        <v>PENDENTE</v>
      </c>
      <c r="E50" s="16" t="s">
        <v>83</v>
      </c>
      <c r="F50" s="16"/>
    </row>
    <row r="51" ht="27.0" customHeight="1">
      <c r="A51" s="14" t="s">
        <v>430</v>
      </c>
      <c r="B51" s="14" t="s">
        <v>427</v>
      </c>
      <c r="C51" s="14" t="str">
        <f>IF(COUNTIFS(TAREFAS!$A$5:$A$47,B51,TAREFAS!$J$5:$J$47,"Concluído")&gt;0,"Concluído","Pendente")</f>
        <v>Pendente</v>
      </c>
      <c r="D51" s="14" t="str">
        <f t="shared" si="1"/>
        <v>PENDENTE</v>
      </c>
      <c r="E51" s="16" t="s">
        <v>83</v>
      </c>
      <c r="F51" s="16"/>
    </row>
    <row r="52" ht="27.0" customHeight="1">
      <c r="A52" s="14" t="s">
        <v>431</v>
      </c>
      <c r="B52" s="14" t="s">
        <v>175</v>
      </c>
      <c r="C52" s="14" t="str">
        <f>IF(COUNTIFS(TAREFAS!$A$5:$A$47,B52,TAREFAS!$J$5:$J$47,"Concluído")&gt;0,"Concluído","Pendente")</f>
        <v>Pendente</v>
      </c>
      <c r="D52" s="14" t="str">
        <f t="shared" si="1"/>
        <v>PENDENTE</v>
      </c>
      <c r="E52" s="16" t="s">
        <v>83</v>
      </c>
      <c r="F52" s="16"/>
    </row>
    <row r="53" ht="27.0" customHeight="1">
      <c r="A53" s="14" t="s">
        <v>431</v>
      </c>
      <c r="B53" s="14" t="s">
        <v>306</v>
      </c>
      <c r="C53" s="14" t="str">
        <f>IF(COUNTIFS(TAREFAS!$A$5:$A$47,B53,TAREFAS!$J$5:$J$47,"Concluído")&gt;0,"Concluído","Pendente")</f>
        <v>Pendente</v>
      </c>
      <c r="D53" s="14" t="str">
        <f t="shared" si="1"/>
        <v>PENDENTE</v>
      </c>
      <c r="E53" s="16" t="s">
        <v>83</v>
      </c>
      <c r="F53" s="16"/>
    </row>
    <row r="54" ht="27.0" customHeight="1">
      <c r="A54" s="14" t="s">
        <v>431</v>
      </c>
      <c r="B54" s="14" t="s">
        <v>412</v>
      </c>
      <c r="C54" s="14" t="str">
        <f>IF(COUNTIFS(TAREFAS!$A$5:$A$47,B54,TAREFAS!$J$5:$J$47,"Concluído")&gt;0,"Concluído","Pendente")</f>
        <v>Pendente</v>
      </c>
      <c r="D54" s="14" t="str">
        <f t="shared" si="1"/>
        <v>PENDENTE</v>
      </c>
      <c r="E54" s="16" t="s">
        <v>83</v>
      </c>
      <c r="F54" s="16"/>
    </row>
    <row r="55" ht="27.0" customHeight="1">
      <c r="A55" s="14" t="s">
        <v>437</v>
      </c>
      <c r="B55" s="14" t="s">
        <v>431</v>
      </c>
      <c r="C55" s="14" t="str">
        <f>IF(COUNTIFS(TAREFAS!$A$5:$A$47,B55,TAREFAS!$J$5:$J$47,"Concluído")&gt;0,"Concluído","Pendente")</f>
        <v>Pendente</v>
      </c>
      <c r="D55" s="14" t="str">
        <f t="shared" si="1"/>
        <v>PENDENTE</v>
      </c>
      <c r="E55" s="16" t="s">
        <v>83</v>
      </c>
      <c r="F55" s="16"/>
    </row>
    <row r="56" ht="27.0" customHeight="1">
      <c r="A56" s="14" t="s">
        <v>437</v>
      </c>
      <c r="B56" s="14" t="s">
        <v>312</v>
      </c>
      <c r="C56" s="14" t="str">
        <f>IF(COUNTIFS(TAREFAS!$A$5:$A$47,B56,TAREFAS!$J$5:$J$47,"Concluído")&gt;0,"Concluído","Pendente")</f>
        <v>Pendente</v>
      </c>
      <c r="D56" s="14" t="str">
        <f t="shared" si="1"/>
        <v>PENDENTE</v>
      </c>
      <c r="E56" s="16" t="s">
        <v>83</v>
      </c>
      <c r="F56" s="16"/>
    </row>
    <row r="57" ht="27.0" customHeight="1">
      <c r="A57" s="14" t="s">
        <v>437</v>
      </c>
      <c r="B57" s="14" t="s">
        <v>336</v>
      </c>
      <c r="C57" s="14" t="str">
        <f>IF(COUNTIFS(TAREFAS!$A$5:$A$47,B57,TAREFAS!$J$5:$J$47,"Concluído")&gt;0,"Concluído","Pendente")</f>
        <v>Pendente</v>
      </c>
      <c r="D57" s="14" t="str">
        <f t="shared" si="1"/>
        <v>PENDENTE</v>
      </c>
      <c r="E57" s="16" t="s">
        <v>83</v>
      </c>
      <c r="F57" s="16"/>
    </row>
    <row r="58" ht="27.0" customHeight="1">
      <c r="A58" s="14" t="s">
        <v>437</v>
      </c>
      <c r="B58" s="14" t="s">
        <v>425</v>
      </c>
      <c r="C58" s="14" t="str">
        <f>IF(COUNTIFS(TAREFAS!$A$5:$A$47,B58,TAREFAS!$J$5:$J$47,"Concluído")&gt;0,"Concluído","Pendente")</f>
        <v>Pendente</v>
      </c>
      <c r="D58" s="14" t="str">
        <f t="shared" si="1"/>
        <v>PENDENTE</v>
      </c>
      <c r="E58" s="16" t="s">
        <v>83</v>
      </c>
      <c r="F58" s="16"/>
    </row>
    <row r="59" ht="27.0" customHeight="1">
      <c r="A59" s="14" t="s">
        <v>437</v>
      </c>
      <c r="B59" s="14" t="s">
        <v>194</v>
      </c>
      <c r="C59" s="14" t="str">
        <f>IF(COUNTIFS(TAREFAS!$A$5:$A$47,B59,TAREFAS!$J$5:$J$47,"Concluído")&gt;0,"Concluído","Pendente")</f>
        <v>Pendente</v>
      </c>
      <c r="D59" s="14" t="str">
        <f t="shared" si="1"/>
        <v>PENDENTE</v>
      </c>
      <c r="E59" s="16" t="s">
        <v>83</v>
      </c>
      <c r="F59" s="16"/>
    </row>
    <row r="60" ht="27.0" customHeight="1">
      <c r="A60" s="14" t="s">
        <v>445</v>
      </c>
      <c r="B60" s="14" t="s">
        <v>143</v>
      </c>
      <c r="C60" s="14" t="str">
        <f>IF(COUNTIFS(TAREFAS!$A$5:$A$47,B60,TAREFAS!$J$5:$J$47,"Concluído")&gt;0,"Concluído","Pendente")</f>
        <v>Pendente</v>
      </c>
      <c r="D60" s="14" t="str">
        <f t="shared" si="1"/>
        <v>PENDENTE</v>
      </c>
      <c r="E60" s="16" t="s">
        <v>83</v>
      </c>
      <c r="F60" s="16"/>
    </row>
    <row r="61" ht="27.0" customHeight="1">
      <c r="A61" s="14" t="s">
        <v>447</v>
      </c>
      <c r="B61" s="14" t="s">
        <v>431</v>
      </c>
      <c r="C61" s="14" t="str">
        <f>IF(COUNTIFS(TAREFAS!$A$5:$A$47,B61,TAREFAS!$J$5:$J$47,"Concluído")&gt;0,"Concluído","Pendente")</f>
        <v>Pendente</v>
      </c>
      <c r="D61" s="14" t="str">
        <f t="shared" si="1"/>
        <v>PENDENTE</v>
      </c>
      <c r="E61" s="16" t="s">
        <v>83</v>
      </c>
      <c r="F61" s="16"/>
    </row>
    <row r="62" ht="27.0" customHeight="1">
      <c r="A62" s="14" t="s">
        <v>450</v>
      </c>
      <c r="B62" s="14" t="s">
        <v>431</v>
      </c>
      <c r="C62" s="14" t="str">
        <f>IF(COUNTIFS(TAREFAS!$A$5:$A$47,B62,TAREFAS!$J$5:$J$47,"Concluído")&gt;0,"Concluído","Pendente")</f>
        <v>Pendente</v>
      </c>
      <c r="D62" s="14" t="str">
        <f t="shared" si="1"/>
        <v>PENDENTE</v>
      </c>
      <c r="E62" s="16" t="s">
        <v>83</v>
      </c>
      <c r="F62" s="16"/>
    </row>
    <row r="63" ht="27.0" customHeight="1">
      <c r="A63" s="14" t="s">
        <v>453</v>
      </c>
      <c r="B63" s="14" t="s">
        <v>437</v>
      </c>
      <c r="C63" s="14" t="str">
        <f>IF(COUNTIFS(TAREFAS!$A$5:$A$47,B63,TAREFAS!$J$5:$J$47,"Concluído")&gt;0,"Concluído","Pendente")</f>
        <v>Pendente</v>
      </c>
      <c r="D63" s="14" t="str">
        <f t="shared" si="1"/>
        <v>PENDENTE</v>
      </c>
      <c r="E63" s="16" t="s">
        <v>83</v>
      </c>
      <c r="F63" s="16"/>
    </row>
    <row r="64" ht="27.0" customHeight="1">
      <c r="A64" s="14" t="s">
        <v>453</v>
      </c>
      <c r="B64" s="14" t="s">
        <v>445</v>
      </c>
      <c r="C64" s="14" t="str">
        <f>IF(COUNTIFS(TAREFAS!$A$5:$A$47,B64,TAREFAS!$J$5:$J$47,"Concluído")&gt;0,"Concluído","Pendente")</f>
        <v>Pendente</v>
      </c>
      <c r="D64" s="14" t="str">
        <f t="shared" si="1"/>
        <v>PENDENTE</v>
      </c>
      <c r="E64" s="16" t="s">
        <v>83</v>
      </c>
      <c r="F64" s="16"/>
    </row>
    <row r="65" ht="27.0" customHeight="1">
      <c r="A65" s="14" t="s">
        <v>453</v>
      </c>
      <c r="B65" s="14" t="s">
        <v>447</v>
      </c>
      <c r="C65" s="14" t="str">
        <f>IF(COUNTIFS(TAREFAS!$A$5:$A$47,B65,TAREFAS!$J$5:$J$47,"Concluído")&gt;0,"Concluído","Pendente")</f>
        <v>Pendente</v>
      </c>
      <c r="D65" s="14" t="str">
        <f t="shared" si="1"/>
        <v>PENDENTE</v>
      </c>
      <c r="E65" s="16" t="s">
        <v>83</v>
      </c>
      <c r="F65" s="16"/>
    </row>
    <row r="66" ht="27.0" customHeight="1">
      <c r="A66" s="14" t="s">
        <v>453</v>
      </c>
      <c r="B66" s="14" t="s">
        <v>450</v>
      </c>
      <c r="C66" s="14" t="str">
        <f>IF(COUNTIFS(TAREFAS!$A$5:$A$47,B66,TAREFAS!$J$5:$J$47,"Concluído")&gt;0,"Concluído","Pendente")</f>
        <v>Pendente</v>
      </c>
      <c r="D66" s="14" t="str">
        <f t="shared" si="1"/>
        <v>PENDENTE</v>
      </c>
      <c r="E66" s="16" t="s">
        <v>83</v>
      </c>
      <c r="F66" s="16"/>
    </row>
    <row r="67" ht="27.0" customHeight="1">
      <c r="A67" s="14" t="s">
        <v>453</v>
      </c>
      <c r="B67" s="14" t="s">
        <v>350</v>
      </c>
      <c r="C67" s="14" t="str">
        <f>IF(COUNTIFS(TAREFAS!$A$5:$A$47,B67,TAREFAS!$J$5:$J$47,"Concluído")&gt;0,"Concluído","Pendente")</f>
        <v>Pendente</v>
      </c>
      <c r="D67" s="14" t="str">
        <f t="shared" si="1"/>
        <v>PENDENTE</v>
      </c>
      <c r="E67" s="16" t="s">
        <v>83</v>
      </c>
      <c r="F67" s="16"/>
    </row>
    <row r="68" ht="27.0" customHeight="1">
      <c r="A68" s="14" t="s">
        <v>453</v>
      </c>
      <c r="B68" s="14" t="s">
        <v>430</v>
      </c>
      <c r="C68" s="14" t="str">
        <f>IF(COUNTIFS(TAREFAS!$A$5:$A$47,B68,TAREFAS!$J$5:$J$47,"Concluído")&gt;0,"Concluído","Pendente")</f>
        <v>Pendente</v>
      </c>
      <c r="D68" s="14" t="str">
        <f t="shared" si="1"/>
        <v>PENDENTE</v>
      </c>
      <c r="E68" s="16" t="s">
        <v>83</v>
      </c>
      <c r="F68" s="16"/>
    </row>
    <row r="69" ht="27.0" customHeight="1">
      <c r="A69" s="14" t="s">
        <v>461</v>
      </c>
      <c r="B69" s="14" t="s">
        <v>453</v>
      </c>
      <c r="C69" s="14" t="str">
        <f>IF(COUNTIFS(TAREFAS!$A$5:$A$47,B69,TAREFAS!$J$5:$J$47,"Concluído")&gt;0,"Concluído","Pendente")</f>
        <v>Pendente</v>
      </c>
      <c r="D69" s="14" t="str">
        <f t="shared" si="1"/>
        <v>PENDENTE</v>
      </c>
      <c r="E69" s="16" t="s">
        <v>83</v>
      </c>
      <c r="F69" s="16"/>
    </row>
    <row r="70" ht="27.0" customHeight="1">
      <c r="A70" s="14" t="s">
        <v>465</v>
      </c>
      <c r="B70" s="14" t="s">
        <v>461</v>
      </c>
      <c r="C70" s="14" t="str">
        <f>IF(COUNTIFS(TAREFAS!$A$5:$A$47,B70,TAREFAS!$J$5:$J$47,"Concluído")&gt;0,"Concluído","Pendente")</f>
        <v>Pendente</v>
      </c>
      <c r="D70" s="14" t="str">
        <f t="shared" si="1"/>
        <v>PENDENTE</v>
      </c>
      <c r="E70" s="16" t="s">
        <v>83</v>
      </c>
      <c r="F70" s="16"/>
    </row>
    <row r="71" ht="27.0" customHeight="1">
      <c r="A71" s="14" t="s">
        <v>466</v>
      </c>
      <c r="B71" s="14" t="s">
        <v>465</v>
      </c>
      <c r="C71" s="14" t="str">
        <f>IF(COUNTIFS(TAREFAS!$A$5:$A$47,B71,TAREFAS!$J$5:$J$47,"Concluído")&gt;0,"Concluído","Pendente")</f>
        <v>Pendente</v>
      </c>
      <c r="D71" s="14" t="str">
        <f t="shared" si="1"/>
        <v>PENDENTE</v>
      </c>
      <c r="E71" s="16" t="s">
        <v>83</v>
      </c>
      <c r="F71" s="16"/>
    </row>
    <row r="72" ht="27.0" customHeight="1">
      <c r="A72" s="14" t="s">
        <v>468</v>
      </c>
      <c r="B72" s="14" t="s">
        <v>466</v>
      </c>
      <c r="C72" s="14" t="str">
        <f>IF(COUNTIFS(TAREFAS!$A$5:$A$47,B72,TAREFAS!$J$5:$J$47,"Concluído")&gt;0,"Concluído","Pendente")</f>
        <v>Pendente</v>
      </c>
      <c r="D72" s="14" t="str">
        <f t="shared" si="1"/>
        <v>PENDENTE</v>
      </c>
      <c r="E72" s="16" t="s">
        <v>83</v>
      </c>
      <c r="F72" s="16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conditionalFormatting sqref="D5:D72">
    <cfRule type="expression" dxfId="7" priority="1">
      <formula>D5="PENDENTE"</formula>
    </cfRule>
  </conditionalFormatting>
  <conditionalFormatting sqref="D5:D72">
    <cfRule type="expression" dxfId="5" priority="2">
      <formula>D5="OK"</formula>
    </cfRule>
  </conditionalFormatting>
  <dataValidations>
    <dataValidation type="list" allowBlank="1" sqref="E5:E72">
      <formula1>"Não,Sim"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5.0"/>
    <col customWidth="1" min="2" max="2" width="18.0"/>
    <col customWidth="1" min="3" max="3" width="58.0"/>
    <col customWidth="1" min="4" max="4" width="20.0"/>
    <col customWidth="1" min="5" max="5" width="76.0"/>
    <col customWidth="1" min="6" max="6" width="20.0"/>
    <col customWidth="1" min="7" max="7" width="65.0"/>
    <col customWidth="1" min="8" max="26" width="8.63"/>
  </cols>
  <sheetData>
    <row r="1" ht="36.0" customHeight="1">
      <c r="A1" s="1" t="s">
        <v>1</v>
      </c>
    </row>
    <row r="2" ht="27.75" customHeight="1">
      <c r="A2" s="2" t="s">
        <v>3</v>
      </c>
    </row>
    <row r="3" ht="9.75" customHeight="1"/>
    <row r="4" ht="30.0" customHeight="1">
      <c r="A4" s="3" t="s">
        <v>5</v>
      </c>
      <c r="B4" s="3" t="s">
        <v>7</v>
      </c>
      <c r="C4" s="3" t="s">
        <v>8</v>
      </c>
      <c r="D4" s="3" t="s">
        <v>10</v>
      </c>
      <c r="E4" s="3" t="s">
        <v>12</v>
      </c>
      <c r="F4" s="3" t="s">
        <v>15</v>
      </c>
      <c r="G4" s="3" t="s">
        <v>17</v>
      </c>
    </row>
    <row r="5" ht="27.0" customHeight="1">
      <c r="A5" s="4" t="s">
        <v>19</v>
      </c>
      <c r="B5" s="6">
        <v>46317.0</v>
      </c>
      <c r="C5" s="7" t="s">
        <v>24</v>
      </c>
      <c r="D5" s="4" t="s">
        <v>26</v>
      </c>
      <c r="E5" s="7" t="s">
        <v>27</v>
      </c>
      <c r="F5" s="5" t="s">
        <v>44</v>
      </c>
      <c r="G5" s="5"/>
    </row>
    <row r="6" ht="27.0" customHeight="1">
      <c r="A6" s="4" t="s">
        <v>45</v>
      </c>
      <c r="B6" s="6">
        <v>46324.0</v>
      </c>
      <c r="C6" s="7" t="s">
        <v>48</v>
      </c>
      <c r="D6" s="4" t="s">
        <v>26</v>
      </c>
      <c r="E6" s="7" t="s">
        <v>50</v>
      </c>
      <c r="F6" s="5" t="s">
        <v>44</v>
      </c>
      <c r="G6" s="5"/>
    </row>
    <row r="7" ht="27.0" customHeight="1">
      <c r="A7" s="4" t="s">
        <v>51</v>
      </c>
      <c r="B7" s="6">
        <v>46329.0</v>
      </c>
      <c r="C7" s="7" t="s">
        <v>52</v>
      </c>
      <c r="D7" s="4" t="s">
        <v>26</v>
      </c>
      <c r="E7" s="7" t="s">
        <v>53</v>
      </c>
      <c r="F7" s="5" t="s">
        <v>44</v>
      </c>
      <c r="G7" s="5"/>
    </row>
    <row r="8" ht="27.0" customHeight="1">
      <c r="A8" s="4" t="s">
        <v>54</v>
      </c>
      <c r="B8" s="6">
        <v>46334.0</v>
      </c>
      <c r="C8" s="7" t="s">
        <v>55</v>
      </c>
      <c r="D8" s="4" t="s">
        <v>26</v>
      </c>
      <c r="E8" s="7" t="s">
        <v>56</v>
      </c>
      <c r="F8" s="5" t="s">
        <v>44</v>
      </c>
      <c r="G8" s="5"/>
    </row>
    <row r="9" ht="27.0" customHeight="1">
      <c r="A9" s="4" t="s">
        <v>57</v>
      </c>
      <c r="B9" s="6">
        <v>46336.0</v>
      </c>
      <c r="C9" s="7" t="s">
        <v>58</v>
      </c>
      <c r="D9" s="4" t="s">
        <v>26</v>
      </c>
      <c r="E9" s="7" t="s">
        <v>59</v>
      </c>
      <c r="F9" s="5" t="s">
        <v>44</v>
      </c>
      <c r="G9" s="5"/>
    </row>
    <row r="10" ht="27.0" customHeight="1">
      <c r="A10" s="4" t="s">
        <v>60</v>
      </c>
      <c r="B10" s="6">
        <v>46337.0</v>
      </c>
      <c r="C10" s="7" t="s">
        <v>61</v>
      </c>
      <c r="D10" s="4" t="s">
        <v>26</v>
      </c>
      <c r="E10" s="7" t="s">
        <v>63</v>
      </c>
      <c r="F10" s="5" t="s">
        <v>44</v>
      </c>
      <c r="G10" s="5"/>
    </row>
    <row r="11" ht="27.0" customHeight="1">
      <c r="A11" s="4"/>
      <c r="B11" s="6"/>
      <c r="C11" s="4"/>
      <c r="D11" s="4"/>
      <c r="E11" s="4"/>
      <c r="F11" s="5"/>
      <c r="G11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dataValidations>
    <dataValidation type="list" allowBlank="1" sqref="F5:F11">
      <formula1>"Não iniciado,Em andamento,Em risco,Aprovado,Não aprovado"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3" width="18.0"/>
    <col customWidth="1" min="4" max="4" width="17.0"/>
    <col customWidth="1" min="5" max="5" width="65.0"/>
    <col customWidth="1" min="6" max="6" width="76.0"/>
    <col customWidth="1" min="7" max="7" width="20.0"/>
    <col customWidth="1" min="8" max="8" width="64.0"/>
    <col customWidth="1" min="9" max="26" width="8.63"/>
  </cols>
  <sheetData>
    <row r="1" ht="36.0" customHeight="1">
      <c r="A1" s="1" t="s">
        <v>102</v>
      </c>
    </row>
    <row r="2" ht="27.75" customHeight="1">
      <c r="A2" s="2" t="s">
        <v>104</v>
      </c>
    </row>
    <row r="3" ht="9.75" customHeight="1"/>
    <row r="4" ht="30.0" customHeight="1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  <c r="G4" s="3" t="s">
        <v>15</v>
      </c>
      <c r="H4" s="3" t="s">
        <v>111</v>
      </c>
    </row>
    <row r="5" ht="27.0" customHeight="1">
      <c r="A5" s="4" t="s">
        <v>112</v>
      </c>
      <c r="B5" s="4" t="s">
        <v>113</v>
      </c>
      <c r="C5" s="4" t="s">
        <v>114</v>
      </c>
      <c r="D5" s="6">
        <v>46313.0</v>
      </c>
      <c r="E5" s="4" t="s">
        <v>115</v>
      </c>
      <c r="F5" s="4" t="s">
        <v>116</v>
      </c>
      <c r="G5" s="5" t="s">
        <v>117</v>
      </c>
      <c r="H5" s="5"/>
    </row>
    <row r="6" ht="27.0" customHeight="1">
      <c r="A6" s="4" t="s">
        <v>118</v>
      </c>
      <c r="B6" s="4" t="s">
        <v>20</v>
      </c>
      <c r="C6" s="4" t="s">
        <v>29</v>
      </c>
      <c r="D6" s="6">
        <v>46313.0</v>
      </c>
      <c r="E6" s="4" t="s">
        <v>119</v>
      </c>
      <c r="F6" s="4" t="s">
        <v>120</v>
      </c>
      <c r="G6" s="5" t="s">
        <v>117</v>
      </c>
      <c r="H6" s="5"/>
    </row>
    <row r="7" ht="27.0" customHeight="1">
      <c r="A7" s="4" t="s">
        <v>121</v>
      </c>
      <c r="B7" s="4" t="s">
        <v>20</v>
      </c>
      <c r="C7" s="4" t="s">
        <v>29</v>
      </c>
      <c r="D7" s="6">
        <v>46313.0</v>
      </c>
      <c r="E7" s="4" t="s">
        <v>123</v>
      </c>
      <c r="F7" s="4" t="s">
        <v>124</v>
      </c>
      <c r="G7" s="5" t="s">
        <v>117</v>
      </c>
      <c r="H7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>
    <dataValidation type="list" allowBlank="1" sqref="G5:G7">
      <formula1>"Pendente,Em revisão,Aprovado,Mudança solicitada"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3.0"/>
    <col customWidth="1" min="2" max="2" width="15.0"/>
    <col customWidth="1" min="3" max="3" width="51.0"/>
    <col customWidth="1" min="4" max="4" width="74.0"/>
    <col customWidth="1" min="5" max="5" width="23.0"/>
    <col customWidth="1" min="6" max="6" width="65.0"/>
    <col customWidth="1" min="7" max="7" width="50.0"/>
    <col customWidth="1" min="8" max="8" width="66.0"/>
    <col customWidth="1" min="9" max="26" width="8.63"/>
  </cols>
  <sheetData>
    <row r="1" ht="36.0" customHeight="1">
      <c r="A1" s="1" t="s">
        <v>130</v>
      </c>
    </row>
    <row r="2" ht="27.75" customHeight="1">
      <c r="A2" s="2" t="s">
        <v>132</v>
      </c>
    </row>
    <row r="3" ht="9.75" customHeight="1"/>
    <row r="4" ht="30.0" customHeight="1">
      <c r="A4" s="3" t="s">
        <v>133</v>
      </c>
      <c r="B4" s="3" t="s">
        <v>134</v>
      </c>
      <c r="C4" s="3" t="s">
        <v>135</v>
      </c>
      <c r="D4" s="3" t="s">
        <v>136</v>
      </c>
      <c r="E4" s="3" t="s">
        <v>15</v>
      </c>
      <c r="F4" s="3" t="s">
        <v>137</v>
      </c>
      <c r="G4" s="3" t="s">
        <v>138</v>
      </c>
      <c r="H4" s="3" t="s">
        <v>139</v>
      </c>
    </row>
    <row r="5" ht="27.0" customHeight="1">
      <c r="A5" s="4" t="s">
        <v>140</v>
      </c>
      <c r="B5" s="4" t="s">
        <v>36</v>
      </c>
      <c r="C5" s="4" t="s">
        <v>141</v>
      </c>
      <c r="D5" s="4" t="s">
        <v>142</v>
      </c>
      <c r="E5" s="5" t="s">
        <v>144</v>
      </c>
      <c r="F5" s="5"/>
      <c r="G5" s="5"/>
      <c r="H5" s="5"/>
    </row>
    <row r="6" ht="27.0" customHeight="1">
      <c r="A6" s="4" t="s">
        <v>145</v>
      </c>
      <c r="B6" s="4" t="s">
        <v>36</v>
      </c>
      <c r="C6" s="4" t="s">
        <v>146</v>
      </c>
      <c r="D6" s="4" t="s">
        <v>148</v>
      </c>
      <c r="E6" s="5" t="s">
        <v>144</v>
      </c>
      <c r="F6" s="5"/>
      <c r="G6" s="5"/>
      <c r="H6" s="5"/>
    </row>
    <row r="7" ht="27.0" customHeight="1">
      <c r="A7" s="4" t="s">
        <v>149</v>
      </c>
      <c r="B7" s="4" t="s">
        <v>36</v>
      </c>
      <c r="C7" s="4" t="s">
        <v>150</v>
      </c>
      <c r="D7" s="4" t="s">
        <v>151</v>
      </c>
      <c r="E7" s="5" t="s">
        <v>144</v>
      </c>
      <c r="F7" s="5"/>
      <c r="G7" s="5"/>
      <c r="H7" s="5"/>
    </row>
    <row r="8" ht="27.0" customHeight="1">
      <c r="A8" s="4" t="s">
        <v>152</v>
      </c>
      <c r="B8" s="4" t="s">
        <v>36</v>
      </c>
      <c r="C8" s="4" t="s">
        <v>153</v>
      </c>
      <c r="D8" s="4" t="s">
        <v>154</v>
      </c>
      <c r="E8" s="5" t="s">
        <v>144</v>
      </c>
      <c r="F8" s="5"/>
      <c r="G8" s="5"/>
      <c r="H8" s="5"/>
    </row>
    <row r="9" ht="27.0" customHeight="1">
      <c r="A9" s="4" t="s">
        <v>155</v>
      </c>
      <c r="B9" s="4" t="s">
        <v>36</v>
      </c>
      <c r="C9" s="4" t="s">
        <v>156</v>
      </c>
      <c r="D9" s="4" t="s">
        <v>157</v>
      </c>
      <c r="E9" s="5" t="s">
        <v>144</v>
      </c>
      <c r="F9" s="5"/>
      <c r="G9" s="5"/>
      <c r="H9" s="5"/>
    </row>
    <row r="10" ht="27.0" customHeight="1">
      <c r="A10" s="4" t="s">
        <v>158</v>
      </c>
      <c r="B10" s="4" t="s">
        <v>36</v>
      </c>
      <c r="C10" s="4" t="s">
        <v>159</v>
      </c>
      <c r="D10" s="4" t="s">
        <v>160</v>
      </c>
      <c r="E10" s="5" t="s">
        <v>144</v>
      </c>
      <c r="F10" s="5"/>
      <c r="G10" s="5"/>
      <c r="H10" s="5"/>
    </row>
    <row r="11" ht="27.0" customHeight="1">
      <c r="A11" s="4" t="s">
        <v>161</v>
      </c>
      <c r="B11" s="4" t="s">
        <v>36</v>
      </c>
      <c r="C11" s="4" t="s">
        <v>162</v>
      </c>
      <c r="D11" s="4" t="s">
        <v>163</v>
      </c>
      <c r="E11" s="5" t="s">
        <v>144</v>
      </c>
      <c r="F11" s="5"/>
      <c r="G11" s="5"/>
      <c r="H11" s="5"/>
    </row>
    <row r="12" ht="27.0" customHeight="1">
      <c r="A12" s="4" t="s">
        <v>164</v>
      </c>
      <c r="B12" s="4" t="s">
        <v>36</v>
      </c>
      <c r="C12" s="4" t="s">
        <v>165</v>
      </c>
      <c r="D12" s="4" t="s">
        <v>166</v>
      </c>
      <c r="E12" s="5" t="s">
        <v>144</v>
      </c>
      <c r="F12" s="5"/>
      <c r="G12" s="5"/>
      <c r="H12" s="5"/>
    </row>
    <row r="13" ht="27.0" customHeight="1">
      <c r="A13" s="4" t="s">
        <v>168</v>
      </c>
      <c r="B13" s="4" t="s">
        <v>36</v>
      </c>
      <c r="C13" s="4" t="s">
        <v>169</v>
      </c>
      <c r="D13" s="4" t="s">
        <v>171</v>
      </c>
      <c r="E13" s="5" t="s">
        <v>144</v>
      </c>
      <c r="F13" s="5"/>
      <c r="G13" s="5"/>
      <c r="H13" s="5"/>
    </row>
    <row r="14" ht="27.0" customHeight="1">
      <c r="A14" s="4" t="s">
        <v>172</v>
      </c>
      <c r="B14" s="4" t="s">
        <v>36</v>
      </c>
      <c r="C14" s="4" t="s">
        <v>173</v>
      </c>
      <c r="D14" s="4" t="s">
        <v>176</v>
      </c>
      <c r="E14" s="5" t="s">
        <v>144</v>
      </c>
      <c r="F14" s="5"/>
      <c r="G14" s="5"/>
      <c r="H14" s="5"/>
    </row>
    <row r="15" ht="27.0" customHeight="1">
      <c r="A15" s="4" t="s">
        <v>177</v>
      </c>
      <c r="B15" s="4" t="s">
        <v>29</v>
      </c>
      <c r="C15" s="4" t="s">
        <v>178</v>
      </c>
      <c r="D15" s="4" t="s">
        <v>179</v>
      </c>
      <c r="E15" s="5" t="s">
        <v>144</v>
      </c>
      <c r="F15" s="5"/>
      <c r="G15" s="5"/>
      <c r="H15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E5:E15">
    <cfRule type="expression" dxfId="5" priority="1">
      <formula>E5="Passou"</formula>
    </cfRule>
  </conditionalFormatting>
  <conditionalFormatting sqref="E5:E15">
    <cfRule type="expression" dxfId="6" priority="2">
      <formula>E5="Falhou"</formula>
    </cfRule>
  </conditionalFormatting>
  <dataValidations>
    <dataValidation type="list" allowBlank="1" sqref="E5:E15">
      <formula1>"Não testado,Em execução,Passou,Falhou,Bloqueado,Parcial"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0"/>
    <col customWidth="1" min="2" max="2" width="58.0"/>
    <col customWidth="1" min="3" max="3" width="22.0"/>
    <col customWidth="1" min="4" max="4" width="17.0"/>
    <col customWidth="1" min="5" max="5" width="58.0"/>
    <col customWidth="1" min="6" max="6" width="18.0"/>
    <col customWidth="1" min="7" max="7" width="77.0"/>
    <col customWidth="1" min="8" max="8" width="18.0"/>
    <col customWidth="1" min="9" max="9" width="60.0"/>
    <col customWidth="1" min="10" max="26" width="8.63"/>
  </cols>
  <sheetData>
    <row r="1" ht="36.0" customHeight="1">
      <c r="A1" s="1" t="s">
        <v>192</v>
      </c>
    </row>
    <row r="2" ht="27.75" customHeight="1">
      <c r="A2" s="2" t="s">
        <v>193</v>
      </c>
    </row>
    <row r="3" ht="9.75" customHeight="1"/>
    <row r="4" ht="30.0" customHeight="1">
      <c r="A4" s="3" t="s">
        <v>49</v>
      </c>
      <c r="B4" s="3" t="s">
        <v>195</v>
      </c>
      <c r="C4" s="3" t="s">
        <v>196</v>
      </c>
      <c r="D4" s="3" t="s">
        <v>197</v>
      </c>
      <c r="E4" s="3" t="s">
        <v>198</v>
      </c>
      <c r="F4" s="3" t="s">
        <v>199</v>
      </c>
      <c r="G4" s="3" t="s">
        <v>200</v>
      </c>
      <c r="H4" s="3" t="s">
        <v>15</v>
      </c>
      <c r="I4" s="3" t="s">
        <v>201</v>
      </c>
    </row>
    <row r="5" ht="27.0" customHeight="1">
      <c r="A5" s="4" t="s">
        <v>202</v>
      </c>
      <c r="B5" s="4" t="s">
        <v>203</v>
      </c>
      <c r="C5" s="4" t="s">
        <v>204</v>
      </c>
      <c r="D5" s="4" t="s">
        <v>205</v>
      </c>
      <c r="E5" s="4" t="s">
        <v>206</v>
      </c>
      <c r="F5" s="4" t="s">
        <v>131</v>
      </c>
      <c r="G5" s="4" t="s">
        <v>207</v>
      </c>
      <c r="H5" s="5" t="s">
        <v>208</v>
      </c>
      <c r="I5" s="5"/>
    </row>
    <row r="6" ht="27.0" customHeight="1">
      <c r="A6" s="4" t="s">
        <v>209</v>
      </c>
      <c r="B6" s="4" t="s">
        <v>210</v>
      </c>
      <c r="C6" s="4" t="s">
        <v>204</v>
      </c>
      <c r="D6" s="4" t="s">
        <v>205</v>
      </c>
      <c r="E6" s="4" t="s">
        <v>211</v>
      </c>
      <c r="F6" s="4" t="s">
        <v>29</v>
      </c>
      <c r="G6" s="4" t="s">
        <v>212</v>
      </c>
      <c r="H6" s="5" t="s">
        <v>208</v>
      </c>
      <c r="I6" s="5"/>
    </row>
    <row r="7" ht="27.0" customHeight="1">
      <c r="A7" s="4" t="s">
        <v>213</v>
      </c>
      <c r="B7" s="4" t="s">
        <v>214</v>
      </c>
      <c r="C7" s="4" t="s">
        <v>204</v>
      </c>
      <c r="D7" s="4" t="s">
        <v>215</v>
      </c>
      <c r="E7" s="4" t="s">
        <v>216</v>
      </c>
      <c r="F7" s="4" t="s">
        <v>180</v>
      </c>
      <c r="G7" s="4" t="s">
        <v>217</v>
      </c>
      <c r="H7" s="5" t="s">
        <v>208</v>
      </c>
      <c r="I7" s="5"/>
    </row>
    <row r="8" ht="27.0" customHeight="1">
      <c r="A8" s="4" t="s">
        <v>219</v>
      </c>
      <c r="B8" s="4" t="s">
        <v>220</v>
      </c>
      <c r="C8" s="4" t="s">
        <v>204</v>
      </c>
      <c r="D8" s="4" t="s">
        <v>215</v>
      </c>
      <c r="E8" s="4" t="s">
        <v>222</v>
      </c>
      <c r="F8" s="4" t="s">
        <v>20</v>
      </c>
      <c r="G8" s="4" t="s">
        <v>223</v>
      </c>
      <c r="H8" s="5" t="s">
        <v>208</v>
      </c>
      <c r="I8" s="5"/>
    </row>
    <row r="9" ht="27.0" customHeight="1">
      <c r="A9" s="4" t="s">
        <v>225</v>
      </c>
      <c r="B9" s="4" t="s">
        <v>226</v>
      </c>
      <c r="C9" s="4" t="s">
        <v>227</v>
      </c>
      <c r="D9" s="4" t="s">
        <v>215</v>
      </c>
      <c r="E9" s="4" t="s">
        <v>228</v>
      </c>
      <c r="F9" s="4" t="s">
        <v>20</v>
      </c>
      <c r="G9" s="4" t="s">
        <v>229</v>
      </c>
      <c r="H9" s="5" t="s">
        <v>208</v>
      </c>
      <c r="I9" s="5"/>
    </row>
    <row r="10" ht="27.0" customHeight="1">
      <c r="A10" s="4" t="s">
        <v>230</v>
      </c>
      <c r="B10" s="4" t="s">
        <v>231</v>
      </c>
      <c r="C10" s="4" t="s">
        <v>227</v>
      </c>
      <c r="D10" s="4" t="s">
        <v>215</v>
      </c>
      <c r="E10" s="4" t="s">
        <v>232</v>
      </c>
      <c r="F10" s="4" t="s">
        <v>20</v>
      </c>
      <c r="G10" s="4" t="s">
        <v>233</v>
      </c>
      <c r="H10" s="5" t="s">
        <v>208</v>
      </c>
      <c r="I10" s="5"/>
    </row>
    <row r="11" ht="27.0" customHeight="1">
      <c r="A11" s="4" t="s">
        <v>234</v>
      </c>
      <c r="B11" s="4" t="s">
        <v>235</v>
      </c>
      <c r="C11" s="4" t="s">
        <v>236</v>
      </c>
      <c r="D11" s="4" t="s">
        <v>215</v>
      </c>
      <c r="E11" s="4" t="s">
        <v>237</v>
      </c>
      <c r="F11" s="4" t="s">
        <v>180</v>
      </c>
      <c r="G11" s="4" t="s">
        <v>238</v>
      </c>
      <c r="H11" s="5" t="s">
        <v>208</v>
      </c>
      <c r="I11" s="5"/>
    </row>
    <row r="12" ht="27.0" customHeight="1">
      <c r="A12" s="4" t="s">
        <v>239</v>
      </c>
      <c r="B12" s="4" t="s">
        <v>240</v>
      </c>
      <c r="C12" s="4" t="s">
        <v>236</v>
      </c>
      <c r="D12" s="4" t="s">
        <v>215</v>
      </c>
      <c r="E12" s="4" t="s">
        <v>241</v>
      </c>
      <c r="F12" s="4" t="s">
        <v>242</v>
      </c>
      <c r="G12" s="4" t="s">
        <v>243</v>
      </c>
      <c r="H12" s="5" t="s">
        <v>208</v>
      </c>
      <c r="I12" s="5"/>
    </row>
    <row r="13" ht="27.0" customHeight="1">
      <c r="A13" s="4" t="s">
        <v>244</v>
      </c>
      <c r="B13" s="4" t="s">
        <v>245</v>
      </c>
      <c r="C13" s="4" t="s">
        <v>204</v>
      </c>
      <c r="D13" s="4" t="s">
        <v>215</v>
      </c>
      <c r="E13" s="4" t="s">
        <v>246</v>
      </c>
      <c r="F13" s="4" t="s">
        <v>242</v>
      </c>
      <c r="G13" s="4" t="s">
        <v>247</v>
      </c>
      <c r="H13" s="5" t="s">
        <v>208</v>
      </c>
      <c r="I13" s="5"/>
    </row>
    <row r="14" ht="27.0" customHeight="1">
      <c r="A14" s="4" t="s">
        <v>248</v>
      </c>
      <c r="B14" s="4" t="s">
        <v>249</v>
      </c>
      <c r="C14" s="4" t="s">
        <v>250</v>
      </c>
      <c r="D14" s="4" t="s">
        <v>205</v>
      </c>
      <c r="E14" s="4" t="s">
        <v>251</v>
      </c>
      <c r="F14" s="4" t="s">
        <v>252</v>
      </c>
      <c r="G14" s="4" t="s">
        <v>253</v>
      </c>
      <c r="H14" s="5" t="s">
        <v>208</v>
      </c>
      <c r="I14" s="5"/>
    </row>
    <row r="15" ht="27.0" customHeight="1">
      <c r="A15" s="4" t="s">
        <v>254</v>
      </c>
      <c r="B15" s="4" t="s">
        <v>255</v>
      </c>
      <c r="C15" s="4" t="s">
        <v>236</v>
      </c>
      <c r="D15" s="4" t="s">
        <v>215</v>
      </c>
      <c r="E15" s="4" t="s">
        <v>256</v>
      </c>
      <c r="F15" s="4" t="s">
        <v>36</v>
      </c>
      <c r="G15" s="4" t="s">
        <v>257</v>
      </c>
      <c r="H15" s="5" t="s">
        <v>208</v>
      </c>
      <c r="I15" s="5"/>
    </row>
    <row r="16" ht="27.0" customHeight="1">
      <c r="A16" s="4" t="s">
        <v>258</v>
      </c>
      <c r="B16" s="4" t="s">
        <v>259</v>
      </c>
      <c r="C16" s="4" t="s">
        <v>236</v>
      </c>
      <c r="D16" s="4" t="s">
        <v>215</v>
      </c>
      <c r="E16" s="4" t="s">
        <v>260</v>
      </c>
      <c r="F16" s="4" t="s">
        <v>36</v>
      </c>
      <c r="G16" s="4" t="s">
        <v>262</v>
      </c>
      <c r="H16" s="5" t="s">
        <v>208</v>
      </c>
      <c r="I16" s="5"/>
    </row>
    <row r="17" ht="27.0" customHeight="1">
      <c r="A17" s="4" t="s">
        <v>263</v>
      </c>
      <c r="B17" s="4" t="s">
        <v>264</v>
      </c>
      <c r="C17" s="4" t="s">
        <v>236</v>
      </c>
      <c r="D17" s="4" t="s">
        <v>265</v>
      </c>
      <c r="E17" s="4" t="s">
        <v>266</v>
      </c>
      <c r="F17" s="4" t="s">
        <v>20</v>
      </c>
      <c r="G17" s="4" t="s">
        <v>267</v>
      </c>
      <c r="H17" s="5" t="s">
        <v>208</v>
      </c>
      <c r="I17" s="5"/>
    </row>
    <row r="18" ht="27.0" customHeight="1">
      <c r="A18" s="4" t="s">
        <v>268</v>
      </c>
      <c r="B18" s="4" t="s">
        <v>269</v>
      </c>
      <c r="C18" s="4" t="s">
        <v>236</v>
      </c>
      <c r="D18" s="4" t="s">
        <v>215</v>
      </c>
      <c r="E18" s="4" t="s">
        <v>270</v>
      </c>
      <c r="F18" s="4" t="s">
        <v>20</v>
      </c>
      <c r="G18" s="4" t="s">
        <v>271</v>
      </c>
      <c r="H18" s="5" t="s">
        <v>208</v>
      </c>
      <c r="I18" s="5"/>
    </row>
    <row r="19" ht="27.0" customHeight="1">
      <c r="A19" s="4" t="s">
        <v>272</v>
      </c>
      <c r="B19" s="4" t="s">
        <v>273</v>
      </c>
      <c r="C19" s="4" t="s">
        <v>274</v>
      </c>
      <c r="D19" s="4" t="s">
        <v>215</v>
      </c>
      <c r="E19" s="4" t="s">
        <v>276</v>
      </c>
      <c r="F19" s="4" t="s">
        <v>277</v>
      </c>
      <c r="G19" s="4" t="s">
        <v>278</v>
      </c>
      <c r="H19" s="5" t="s">
        <v>208</v>
      </c>
      <c r="I19" s="5"/>
    </row>
    <row r="20" ht="27.0" customHeight="1">
      <c r="A20" s="4" t="s">
        <v>279</v>
      </c>
      <c r="B20" s="4" t="s">
        <v>280</v>
      </c>
      <c r="C20" s="4" t="s">
        <v>250</v>
      </c>
      <c r="D20" s="4" t="s">
        <v>215</v>
      </c>
      <c r="E20" s="4" t="s">
        <v>281</v>
      </c>
      <c r="F20" s="4" t="s">
        <v>242</v>
      </c>
      <c r="G20" s="4" t="s">
        <v>282</v>
      </c>
      <c r="H20" s="5" t="s">
        <v>208</v>
      </c>
      <c r="I20" s="5"/>
    </row>
    <row r="21" ht="27.0" customHeight="1">
      <c r="A21" s="4" t="s">
        <v>283</v>
      </c>
      <c r="B21" s="4" t="s">
        <v>284</v>
      </c>
      <c r="C21" s="4" t="s">
        <v>236</v>
      </c>
      <c r="D21" s="4" t="s">
        <v>215</v>
      </c>
      <c r="E21" s="4" t="s">
        <v>285</v>
      </c>
      <c r="F21" s="4" t="s">
        <v>252</v>
      </c>
      <c r="G21" s="4" t="s">
        <v>286</v>
      </c>
      <c r="H21" s="5" t="s">
        <v>208</v>
      </c>
      <c r="I21" s="5"/>
    </row>
    <row r="22" ht="27.0" customHeight="1">
      <c r="A22" s="4" t="s">
        <v>287</v>
      </c>
      <c r="B22" s="4" t="s">
        <v>288</v>
      </c>
      <c r="C22" s="4" t="s">
        <v>236</v>
      </c>
      <c r="D22" s="4" t="s">
        <v>215</v>
      </c>
      <c r="E22" s="4" t="s">
        <v>289</v>
      </c>
      <c r="F22" s="4" t="s">
        <v>290</v>
      </c>
      <c r="G22" s="4" t="s">
        <v>291</v>
      </c>
      <c r="H22" s="5" t="s">
        <v>208</v>
      </c>
      <c r="I22" s="5"/>
    </row>
    <row r="23" ht="27.0" customHeight="1">
      <c r="A23" s="4" t="s">
        <v>292</v>
      </c>
      <c r="B23" s="4" t="s">
        <v>293</v>
      </c>
      <c r="C23" s="4" t="s">
        <v>236</v>
      </c>
      <c r="D23" s="4" t="s">
        <v>215</v>
      </c>
      <c r="E23" s="4" t="s">
        <v>294</v>
      </c>
      <c r="F23" s="4" t="s">
        <v>36</v>
      </c>
      <c r="G23" s="4" t="s">
        <v>295</v>
      </c>
      <c r="H23" s="5" t="s">
        <v>208</v>
      </c>
      <c r="I23" s="5"/>
    </row>
    <row r="24" ht="27.0" customHeight="1">
      <c r="A24" s="4" t="s">
        <v>296</v>
      </c>
      <c r="B24" s="4" t="s">
        <v>297</v>
      </c>
      <c r="C24" s="4" t="s">
        <v>236</v>
      </c>
      <c r="D24" s="4" t="s">
        <v>205</v>
      </c>
      <c r="E24" s="4" t="s">
        <v>299</v>
      </c>
      <c r="F24" s="4" t="s">
        <v>300</v>
      </c>
      <c r="G24" s="4" t="s">
        <v>301</v>
      </c>
      <c r="H24" s="5" t="s">
        <v>208</v>
      </c>
      <c r="I24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dataValidations>
    <dataValidation type="list" allowBlank="1" sqref="H5:H24">
      <formula1>"Aberto,Monitorando,Mitigado,Materializado,Encerrado"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4" width="18.0"/>
    <col customWidth="1" min="5" max="5" width="4.0"/>
    <col customWidth="1" min="6" max="10" width="12.0"/>
    <col customWidth="1" min="11" max="26" width="8.63"/>
  </cols>
  <sheetData>
    <row r="1" ht="36.0" customHeight="1">
      <c r="A1" s="1" t="s">
        <v>315</v>
      </c>
    </row>
    <row r="2" ht="27.75" customHeight="1">
      <c r="A2" s="2" t="s">
        <v>316</v>
      </c>
    </row>
    <row r="3" ht="9.75" customHeight="1"/>
    <row r="4" ht="28.5" customHeight="1">
      <c r="A4" s="21" t="s">
        <v>317</v>
      </c>
      <c r="B4" s="21" t="s">
        <v>318</v>
      </c>
      <c r="C4" s="21" t="s">
        <v>320</v>
      </c>
    </row>
    <row r="5" ht="27.75" customHeight="1">
      <c r="A5" s="22" t="s">
        <v>321</v>
      </c>
      <c r="B5" s="23">
        <f>COUNTA(TAREFAS!$A$5:$A$47)</f>
        <v>43</v>
      </c>
      <c r="C5" s="24" t="s">
        <v>324</v>
      </c>
    </row>
    <row r="6" ht="27.75" customHeight="1">
      <c r="A6" s="22" t="s">
        <v>325</v>
      </c>
      <c r="B6" s="23">
        <f>COUNTIF(TAREFAS!$J$5:$J$47,"Concluído")</f>
        <v>0</v>
      </c>
      <c r="C6" s="24" t="s">
        <v>327</v>
      </c>
    </row>
    <row r="7" ht="27.75" customHeight="1">
      <c r="A7" s="22" t="s">
        <v>328</v>
      </c>
      <c r="B7" s="23">
        <f>COUNTIF(TAREFAS!$J$5:$J$47,"Em andamento")</f>
        <v>0</v>
      </c>
      <c r="C7" s="24" t="s">
        <v>329</v>
      </c>
    </row>
    <row r="8" ht="27.75" customHeight="1">
      <c r="A8" s="22" t="s">
        <v>330</v>
      </c>
      <c r="B8" s="23">
        <f>COUNTIF(TAREFAS!$J$5:$J$47,"Bloqueado")</f>
        <v>0</v>
      </c>
      <c r="C8" s="24" t="s">
        <v>331</v>
      </c>
    </row>
    <row r="9" ht="27.75" customHeight="1">
      <c r="A9" s="22" t="s">
        <v>332</v>
      </c>
      <c r="B9" s="23">
        <f>COUNTIF(#REF!,"ATRASADA")</f>
        <v>0</v>
      </c>
      <c r="C9" s="24" t="s">
        <v>333</v>
      </c>
    </row>
    <row r="10" ht="27.75" customHeight="1">
      <c r="A10" s="22" t="s">
        <v>334</v>
      </c>
      <c r="B10" s="25">
        <f>IFERROR(B6/B5,0)</f>
        <v>0</v>
      </c>
      <c r="C10" s="24" t="s">
        <v>337</v>
      </c>
    </row>
    <row r="11" ht="27.75" customHeight="1">
      <c r="A11" s="22" t="s">
        <v>338</v>
      </c>
      <c r="B11" s="26" t="str">
        <f>SUM(#REF!)</f>
        <v>#REF!</v>
      </c>
      <c r="C11" s="24" t="s">
        <v>339</v>
      </c>
    </row>
    <row r="12" ht="27.75" customHeight="1">
      <c r="A12" s="22" t="s">
        <v>340</v>
      </c>
      <c r="B12" s="26">
        <f>SUM(TAREFAS!$K$5:$K$47)</f>
        <v>0</v>
      </c>
      <c r="C12" s="24" t="s">
        <v>341</v>
      </c>
    </row>
    <row r="13" ht="27.75" customHeight="1">
      <c r="A13" s="22" t="s">
        <v>342</v>
      </c>
      <c r="B13" s="23">
        <f>COUNTIF(TESTES!$E$5:$E$15,"Passou")</f>
        <v>0</v>
      </c>
      <c r="C13" s="24" t="s">
        <v>343</v>
      </c>
    </row>
    <row r="14" ht="27.75" customHeight="1">
      <c r="A14" s="22" t="s">
        <v>344</v>
      </c>
      <c r="B14" s="23">
        <f>COUNTIF(CONTRATOS!$G$5:$G$7,"Aprovado")</f>
        <v>0</v>
      </c>
      <c r="C14" s="24" t="s">
        <v>345</v>
      </c>
    </row>
    <row r="16" ht="27.75" customHeight="1">
      <c r="A16" s="21" t="s">
        <v>346</v>
      </c>
      <c r="B16" s="21" t="s">
        <v>347</v>
      </c>
      <c r="C16" s="21" t="s">
        <v>348</v>
      </c>
      <c r="D16" s="21" t="s">
        <v>349</v>
      </c>
    </row>
    <row r="17" ht="28.5" customHeight="1">
      <c r="A17" s="24" t="str">
        <f>MARCOS!A5</f>
        <v>M1 · Fundações</v>
      </c>
      <c r="B17" s="27">
        <f>MARCOS!B5</f>
        <v>46317</v>
      </c>
      <c r="C17" s="24" t="str">
        <f>MARCOS!C5</f>
        <v>15 cards: contratos, ambiente, linguagens base, protótipos UI/T11 e runtime local+2 hosts</v>
      </c>
      <c r="D17" s="24" t="str">
        <f>MARCOS!F5</f>
        <v>Não iniciado</v>
      </c>
    </row>
    <row r="18" ht="28.5" customHeight="1">
      <c r="A18" s="24" t="str">
        <f>MARCOS!A6</f>
        <v>M2 · Funcionalidades</v>
      </c>
      <c r="B18" s="27">
        <f>MARCOS!B6</f>
        <v>46324</v>
      </c>
      <c r="C18" s="24" t="str">
        <f>MARCOS!C6</f>
        <v>13 cards: Fork/Join integrado, T08–T10, T11 ARM/CPUlator, Web ligada e smoke dos 3 eixos</v>
      </c>
      <c r="D18" s="24" t="str">
        <f>MARCOS!F6</f>
        <v>Não iniciado</v>
      </c>
    </row>
    <row r="19" ht="28.5" customHeight="1">
      <c r="A19" s="24" t="str">
        <f>MARCOS!A7</f>
        <v>M3 · Congelamento</v>
      </c>
      <c r="B19" s="27">
        <f>MARCOS!B7</f>
        <v>46329</v>
      </c>
      <c r="C19" s="24" t="str">
        <f>MARCOS!C7</f>
        <v>12 cards: TAC, regressão 1–11, interfaces, documentação, relatório, release candidata</v>
      </c>
      <c r="D19" s="24" t="str">
        <f>MARCOS!F7</f>
        <v>Não iniciado</v>
      </c>
    </row>
    <row r="20" ht="28.5" customHeight="1">
      <c r="A20" s="24" t="str">
        <f>MARCOS!A8</f>
        <v>ESTUDO · Preparação</v>
      </c>
      <c r="B20" s="27">
        <f>MARCOS!B8</f>
        <v>46334</v>
      </c>
      <c r="C20" s="24" t="str">
        <f>MARCOS!C8</f>
        <v>EST-01: estudo de módulos e roteiro individual</v>
      </c>
      <c r="D20" s="24" t="str">
        <f>MARCOS!F8</f>
        <v>Não iniciado</v>
      </c>
    </row>
    <row r="21" ht="28.5" customHeight="1">
      <c r="A21" s="24" t="str">
        <f>MARCOS!A9</f>
        <v>ENSAIO · Demonstração</v>
      </c>
      <c r="B21" s="27">
        <f>MARCOS!B9</f>
        <v>46336</v>
      </c>
      <c r="C21" s="24" t="str">
        <f>MARCOS!C9</f>
        <v>EST-02: ensaio completo e contingência</v>
      </c>
      <c r="D21" s="24" t="str">
        <f>MARCOS!F9</f>
        <v>Não iniciado</v>
      </c>
    </row>
    <row r="22" ht="28.5" customHeight="1">
      <c r="A22" s="24" t="str">
        <f>MARCOS!A10</f>
        <v>ENTREGA · Oficial</v>
      </c>
      <c r="B22" s="27">
        <f>MARCOS!B10</f>
        <v>46337</v>
      </c>
      <c r="C22" s="24" t="str">
        <f>MARCOS!C10</f>
        <v>ENT-01: entrega oficial MiniPar 2026.2</v>
      </c>
      <c r="D22" s="24" t="str">
        <f>MARCOS!F10</f>
        <v>Não iniciado</v>
      </c>
    </row>
    <row r="23" ht="28.5" customHeight="1">
      <c r="A23" s="24" t="str">
        <f>MARCOS!A11</f>
        <v/>
      </c>
      <c r="B23" s="27" t="str">
        <f>MARCOS!B11</f>
        <v/>
      </c>
      <c r="C23" s="24" t="str">
        <f>MARCOS!C11</f>
        <v/>
      </c>
      <c r="D23" s="24" t="str">
        <f>MARCOS!F11</f>
        <v/>
      </c>
    </row>
    <row r="24" ht="15.75" customHeight="1"/>
    <row r="25" ht="15.75" customHeight="1"/>
    <row r="26" ht="27.75" customHeight="1">
      <c r="A26" s="21" t="s">
        <v>380</v>
      </c>
      <c r="B26" s="21" t="s">
        <v>381</v>
      </c>
      <c r="C26" s="21" t="s">
        <v>383</v>
      </c>
      <c r="D26" s="21" t="s">
        <v>384</v>
      </c>
    </row>
    <row r="27" ht="15.75" customHeight="1">
      <c r="A27" s="24" t="s">
        <v>20</v>
      </c>
      <c r="B27" s="24">
        <f>COUNTIF(TAREFAS!$B$5:$B$47,A27)</f>
        <v>12</v>
      </c>
      <c r="C27" s="24">
        <f>COUNTIFS(TAREFAS!$B$5:$B$47,A27,TAREFAS!$J$5:$J$47,"Concluído")</f>
        <v>0</v>
      </c>
      <c r="D27" s="24" t="str">
        <f>SUMIF(TAREFAS!$B$5:$B$47,A27,#REF!)</f>
        <v>#N/A</v>
      </c>
    </row>
    <row r="28" ht="15.75" customHeight="1">
      <c r="A28" s="24" t="s">
        <v>29</v>
      </c>
      <c r="B28" s="24">
        <f>COUNTIF(TAREFAS!$B$5:$B$47,A28)</f>
        <v>12</v>
      </c>
      <c r="C28" s="24">
        <f>COUNTIFS(TAREFAS!$B$5:$B$47,A28,TAREFAS!$J$5:$J$47,"Concluído")</f>
        <v>0</v>
      </c>
      <c r="D28" s="24" t="str">
        <f>SUMIF(TAREFAS!$B$5:$B$47,A28,#REF!)</f>
        <v>#N/A</v>
      </c>
    </row>
    <row r="29" ht="15.75" customHeight="1">
      <c r="A29" s="24" t="s">
        <v>36</v>
      </c>
      <c r="B29" s="24">
        <f>COUNTIF(TAREFAS!$B$5:$B$47,A29)</f>
        <v>13</v>
      </c>
      <c r="C29" s="24">
        <f>COUNTIFS(TAREFAS!$B$5:$B$47,A29,TAREFAS!$J$5:$J$47,"Concluído")</f>
        <v>0</v>
      </c>
      <c r="D29" s="24" t="str">
        <f>SUMIF(TAREFAS!$B$5:$B$47,A29,#REF!)</f>
        <v>#N/A</v>
      </c>
    </row>
    <row r="30" ht="15.75" customHeight="1">
      <c r="A30" s="24" t="s">
        <v>180</v>
      </c>
      <c r="B30" s="24">
        <f>COUNTIF(TAREFAS!$B$5:$B$47,A30)</f>
        <v>2</v>
      </c>
      <c r="C30" s="24">
        <f>COUNTIFS(TAREFAS!$B$5:$B$47,A30,TAREFAS!$J$5:$J$47,"Concluído")</f>
        <v>0</v>
      </c>
      <c r="D30" s="24" t="str">
        <f>SUMIF(TAREFAS!$B$5:$B$47,A30,#REF!)</f>
        <v>#N/A</v>
      </c>
    </row>
    <row r="31" ht="15.75" customHeight="1">
      <c r="A31" s="24" t="s">
        <v>131</v>
      </c>
      <c r="B31" s="24">
        <f>COUNTIF(TAREFAS!$B$5:$B$47,A31)</f>
        <v>1</v>
      </c>
      <c r="C31" s="24">
        <f>COUNTIFS(TAREFAS!$B$5:$B$47,A31,TAREFAS!$J$5:$J$47,"Concluído")</f>
        <v>0</v>
      </c>
      <c r="D31" s="24" t="str">
        <f>SUMIF(TAREFAS!$B$5:$B$47,A31,#REF!)</f>
        <v>#N/A</v>
      </c>
    </row>
    <row r="32" ht="15.75" customHeight="1">
      <c r="A32" s="24" t="s">
        <v>366</v>
      </c>
      <c r="B32" s="24">
        <f>COUNTIF(TAREFAS!$B$5:$B$47,A32)</f>
        <v>3</v>
      </c>
      <c r="C32" s="24">
        <f>COUNTIFS(TAREFAS!$B$5:$B$47,A32,TAREFAS!$J$5:$J$47,"Concluído")</f>
        <v>0</v>
      </c>
      <c r="D32" s="24" t="str">
        <f>SUMIF(TAREFAS!$B$5:$B$47,A32,#REF!)</f>
        <v>#N/A</v>
      </c>
    </row>
    <row r="33" ht="15.75" customHeight="1"/>
    <row r="34" ht="28.5" customHeight="1">
      <c r="A34" s="28" t="s">
        <v>413</v>
      </c>
    </row>
    <row r="35" ht="15.75" customHeight="1"/>
    <row r="36" ht="15.75" customHeight="1">
      <c r="A36" s="29" t="s">
        <v>414</v>
      </c>
      <c r="B36" s="29" t="s">
        <v>381</v>
      </c>
      <c r="C36" s="29" t="s">
        <v>383</v>
      </c>
      <c r="D36" s="29" t="s">
        <v>415</v>
      </c>
    </row>
    <row r="37" ht="15.75" customHeight="1">
      <c r="A37" s="24" t="s">
        <v>94</v>
      </c>
      <c r="B37" s="24">
        <f>COUNTIF(TAREFAS!$Q$5:$Q$47,A37)</f>
        <v>15</v>
      </c>
      <c r="C37" s="24">
        <f>COUNTIFS(TAREFAS!$Q$5:$Q$47,A37,TAREFAS!$J$5:$J$47,"Concluído")</f>
        <v>0</v>
      </c>
      <c r="D37" s="24">
        <f t="shared" ref="D37:D39" si="1">B37-C37</f>
        <v>15</v>
      </c>
    </row>
    <row r="38" ht="15.75" customHeight="1">
      <c r="A38" s="24" t="s">
        <v>305</v>
      </c>
      <c r="B38" s="24">
        <f>COUNTIF(TAREFAS!$Q$5:$Q$47,A38)</f>
        <v>13</v>
      </c>
      <c r="C38" s="24">
        <f>COUNTIFS(TAREFAS!$Q$5:$Q$47,A38,TAREFAS!$J$5:$J$47,"Concluído")</f>
        <v>0</v>
      </c>
      <c r="D38" s="24">
        <f t="shared" si="1"/>
        <v>13</v>
      </c>
    </row>
    <row r="39" ht="15.75" customHeight="1">
      <c r="A39" s="24" t="s">
        <v>409</v>
      </c>
      <c r="B39" s="24">
        <f>COUNTIF(TAREFAS!$Q$5:$Q$47,A39)</f>
        <v>12</v>
      </c>
      <c r="C39" s="24">
        <f>COUNTIFS(TAREFAS!$Q$5:$Q$47,A39,TAREFAS!$J$5:$J$47,"Concluído")</f>
        <v>0</v>
      </c>
      <c r="D39" s="24">
        <f t="shared" si="1"/>
        <v>12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34:J3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0"/>
    <col customWidth="1" min="2" max="2" width="67.0"/>
    <col customWidth="1" min="3" max="3" width="41.0"/>
    <col customWidth="1" min="4" max="4" width="93.0"/>
    <col customWidth="1" min="5" max="26" width="8.63"/>
  </cols>
  <sheetData>
    <row r="1" ht="36.0" customHeight="1">
      <c r="A1" s="1" t="s">
        <v>354</v>
      </c>
    </row>
    <row r="2" ht="27.75" customHeight="1">
      <c r="A2" s="2" t="s">
        <v>356</v>
      </c>
    </row>
    <row r="3" ht="9.75" customHeight="1"/>
    <row r="4" ht="30.0" customHeight="1">
      <c r="A4" s="3" t="s">
        <v>357</v>
      </c>
      <c r="B4" s="3" t="s">
        <v>358</v>
      </c>
      <c r="C4" s="3" t="s">
        <v>359</v>
      </c>
      <c r="D4" s="3" t="s">
        <v>360</v>
      </c>
    </row>
    <row r="5" ht="43.5" customHeight="1">
      <c r="A5" s="4">
        <v>1.0</v>
      </c>
      <c r="B5" s="4" t="s">
        <v>362</v>
      </c>
      <c r="C5" s="4" t="s">
        <v>363</v>
      </c>
      <c r="D5" s="7" t="s">
        <v>364</v>
      </c>
    </row>
    <row r="6" ht="43.5" customHeight="1">
      <c r="A6" s="4">
        <v>2.0</v>
      </c>
      <c r="B6" s="4" t="s">
        <v>365</v>
      </c>
      <c r="C6" s="4" t="s">
        <v>366</v>
      </c>
      <c r="D6" s="7" t="s">
        <v>367</v>
      </c>
    </row>
    <row r="7" ht="43.5" customHeight="1">
      <c r="A7" s="4">
        <v>3.0</v>
      </c>
      <c r="B7" s="4" t="s">
        <v>368</v>
      </c>
      <c r="C7" s="4" t="s">
        <v>369</v>
      </c>
      <c r="D7" s="7" t="s">
        <v>370</v>
      </c>
    </row>
    <row r="8" ht="43.5" customHeight="1">
      <c r="A8" s="4">
        <v>4.0</v>
      </c>
      <c r="B8" s="4" t="s">
        <v>371</v>
      </c>
      <c r="C8" s="4" t="s">
        <v>372</v>
      </c>
      <c r="D8" s="7" t="s">
        <v>373</v>
      </c>
    </row>
    <row r="9" ht="43.5" customHeight="1">
      <c r="A9" s="4">
        <v>5.0</v>
      </c>
      <c r="B9" s="4" t="s">
        <v>374</v>
      </c>
      <c r="C9" s="4" t="s">
        <v>375</v>
      </c>
      <c r="D9" s="7" t="s">
        <v>376</v>
      </c>
    </row>
    <row r="10" ht="43.5" customHeight="1">
      <c r="A10" s="4">
        <v>6.0</v>
      </c>
      <c r="B10" s="4" t="s">
        <v>377</v>
      </c>
      <c r="C10" s="4" t="s">
        <v>372</v>
      </c>
      <c r="D10" s="7" t="s">
        <v>378</v>
      </c>
    </row>
    <row r="11" ht="43.5" customHeight="1">
      <c r="A11" s="4">
        <v>7.0</v>
      </c>
      <c r="B11" s="4" t="s">
        <v>379</v>
      </c>
      <c r="C11" s="4" t="s">
        <v>372</v>
      </c>
      <c r="D11" s="7" t="s">
        <v>382</v>
      </c>
    </row>
    <row r="12" ht="43.5" customHeight="1">
      <c r="A12" s="4">
        <v>8.0</v>
      </c>
      <c r="B12" s="4" t="s">
        <v>385</v>
      </c>
      <c r="C12" s="4" t="s">
        <v>386</v>
      </c>
      <c r="D12" s="7" t="s">
        <v>387</v>
      </c>
    </row>
    <row r="13" ht="43.5" customHeight="1">
      <c r="A13" s="4">
        <v>9.0</v>
      </c>
      <c r="B13" s="4" t="s">
        <v>388</v>
      </c>
      <c r="C13" s="4" t="s">
        <v>372</v>
      </c>
      <c r="D13" s="7" t="s">
        <v>389</v>
      </c>
    </row>
    <row r="14" ht="43.5" customHeight="1">
      <c r="A14" s="4">
        <v>10.0</v>
      </c>
      <c r="B14" s="4" t="s">
        <v>390</v>
      </c>
      <c r="C14" s="4" t="s">
        <v>391</v>
      </c>
      <c r="D14" s="7" t="s">
        <v>392</v>
      </c>
    </row>
    <row r="15" ht="43.5" customHeight="1">
      <c r="A15" s="4">
        <v>11.0</v>
      </c>
      <c r="B15" s="4" t="s">
        <v>393</v>
      </c>
      <c r="C15" s="4" t="s">
        <v>394</v>
      </c>
      <c r="D15" s="7" t="s">
        <v>395</v>
      </c>
    </row>
    <row r="16" ht="43.5" customHeight="1">
      <c r="A16" s="4">
        <v>12.0</v>
      </c>
      <c r="B16" s="4" t="s">
        <v>396</v>
      </c>
      <c r="C16" s="4" t="s">
        <v>397</v>
      </c>
      <c r="D16" s="7" t="s">
        <v>398</v>
      </c>
    </row>
    <row r="17" ht="43.5" customHeight="1">
      <c r="A17" s="4">
        <v>13.0</v>
      </c>
      <c r="B17" s="4" t="s">
        <v>399</v>
      </c>
      <c r="C17" s="4" t="s">
        <v>400</v>
      </c>
      <c r="D17" s="7" t="s">
        <v>401</v>
      </c>
    </row>
    <row r="18" ht="43.5" customHeight="1">
      <c r="A18" s="4">
        <v>14.0</v>
      </c>
      <c r="B18" s="4" t="s">
        <v>402</v>
      </c>
      <c r="C18" s="4" t="s">
        <v>403</v>
      </c>
      <c r="D18" s="7" t="s">
        <v>405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